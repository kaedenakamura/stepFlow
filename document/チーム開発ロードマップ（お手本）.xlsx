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Override PartName="/xl/webextensions/webextension4.xml" ContentType="application/vnd.ms-office.webextension+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showInkAnnotation="0" autoCompressPictures="0"/>
  <mc:AlternateContent xmlns:mc="http://schemas.openxmlformats.org/markup-compatibility/2006">
    <mc:Choice Requires="x15">
      <x15ac:absPath xmlns:x15ac="http://schemas.microsoft.com/office/spreadsheetml/2010/11/ac" url="C:\Users\owner\Documents\オープラン書類\"/>
    </mc:Choice>
  </mc:AlternateContent>
  <xr:revisionPtr revIDLastSave="0" documentId="13_ncr:1_{6A33B0D6-4FEA-413C-8939-9697317AA796}" xr6:coauthVersionLast="47" xr6:coauthVersionMax="47" xr10:uidLastSave="{00000000-0000-0000-0000-000000000000}"/>
  <bookViews>
    <workbookView xWindow="14295" yWindow="0" windowWidth="14610" windowHeight="15585" firstSheet="5" activeTab="5" xr2:uid="{00000000-000D-0000-FFFF-FFFF00000000}"/>
  </bookViews>
  <sheets>
    <sheet name="参考PF" sheetId="25" r:id="rId1"/>
    <sheet name="開発手順書" sheetId="23" r:id="rId2"/>
    <sheet name="スケジュール " sheetId="28" r:id="rId3"/>
    <sheet name="タスク管理" sheetId="27" r:id="rId4"/>
    <sheet name="基本設計" sheetId="20" r:id="rId5"/>
    <sheet name="機能一覧" sheetId="13" r:id="rId6"/>
    <sheet name="画面遷移図" sheetId="24" r:id="rId7"/>
    <sheet name="DB概要" sheetId="8" r:id="rId8"/>
    <sheet name="テーブル設計" sheetId="9" r:id="rId9"/>
    <sheet name="テーブル図" sheetId="10" r:id="rId10"/>
    <sheet name="ER図" sheetId="19" r:id="rId11"/>
    <sheet name="テスト項目書" sheetId="15" r:id="rId12"/>
    <sheet name="改修項目" sheetId="22" r:id="rId13"/>
  </sheets>
  <definedNames>
    <definedName name="_xlnm._FilterDatabase" localSheetId="11" hidden="1">テスト項目書!$A$1:$N$1</definedName>
    <definedName name="タスク_開始" localSheetId="2">'スケジュール '!$D1</definedName>
    <definedName name="タスク_終了" localSheetId="2">'スケジュール '!$E1</definedName>
    <definedName name="プロジェクトの開始" localSheetId="2">'スケジュール '!$D$1</definedName>
    <definedName name="週表示" localSheetId="2">'スケジュール '!$D$2</definedName>
  </definedName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6" i="28" l="1"/>
  <c r="G7" i="28"/>
  <c r="G8" i="28"/>
  <c r="G9" i="28"/>
  <c r="G10" i="28"/>
  <c r="G5" i="28"/>
  <c r="G11" i="28"/>
  <c r="H3" i="28"/>
  <c r="H2" i="28"/>
  <c r="H4" i="28"/>
  <c r="I3" i="28"/>
  <c r="I4" i="28"/>
  <c r="J3" i="28"/>
  <c r="J4" i="28"/>
  <c r="K3" i="28"/>
  <c r="K4" i="28"/>
  <c r="L3" i="28"/>
  <c r="L4" i="28"/>
  <c r="M3" i="28"/>
  <c r="M4" i="28"/>
  <c r="N3" i="28"/>
  <c r="N4" i="28"/>
  <c r="O3" i="28"/>
  <c r="O4" i="28"/>
  <c r="P3" i="28"/>
  <c r="O2" i="28"/>
  <c r="P4" i="28"/>
  <c r="Q3" i="28"/>
  <c r="Q4" i="28"/>
  <c r="R3" i="28"/>
  <c r="R4" i="28"/>
  <c r="S3" i="28"/>
  <c r="S4" i="28"/>
  <c r="T3" i="28"/>
  <c r="T4" i="28"/>
  <c r="U3" i="28"/>
  <c r="U4" i="28"/>
  <c r="V3" i="28"/>
  <c r="V4" i="28"/>
  <c r="W3" i="28"/>
  <c r="V2" i="28"/>
  <c r="W4" i="28"/>
  <c r="X3" i="28"/>
  <c r="X4" i="28"/>
  <c r="Y3" i="28"/>
  <c r="Y4" i="28"/>
  <c r="Z3" i="28"/>
  <c r="Z4" i="28"/>
  <c r="AA3" i="28"/>
  <c r="AA4" i="28"/>
  <c r="AB3" i="28"/>
  <c r="AB4" i="28"/>
  <c r="AC3" i="28"/>
  <c r="AC4" i="28"/>
  <c r="AD3" i="28"/>
  <c r="AC2" i="28"/>
  <c r="AD4" i="28"/>
  <c r="AE3" i="28"/>
  <c r="AE4" i="28"/>
  <c r="AF3" i="28"/>
  <c r="AF4" i="28"/>
  <c r="AG3" i="28"/>
  <c r="AG4" i="28"/>
  <c r="AH3" i="28"/>
  <c r="AH4" i="28"/>
  <c r="AI3" i="28"/>
  <c r="AI4" i="28"/>
  <c r="AJ3" i="28"/>
  <c r="AJ4" i="28"/>
  <c r="AK3" i="28"/>
  <c r="AJ2" i="28"/>
  <c r="AK4" i="28"/>
  <c r="AL3" i="28"/>
  <c r="AM3" i="28"/>
  <c r="AL4" i="28"/>
  <c r="AN3" i="28"/>
  <c r="AM4" i="28"/>
  <c r="AN4" i="28"/>
  <c r="AO3" i="28"/>
  <c r="AO4" i="28"/>
  <c r="AP3" i="28"/>
  <c r="AP4" i="28"/>
</calcChain>
</file>

<file path=xl/sharedStrings.xml><?xml version="1.0" encoding="utf-8"?>
<sst xmlns="http://schemas.openxmlformats.org/spreadsheetml/2006/main" count="1427" uniqueCount="606">
  <si>
    <t>URL</t>
  </si>
  <si>
    <t>http://160.251.205.21:9138/</t>
  </si>
  <si>
    <t>権限</t>
  </si>
  <si>
    <t>ユーザー名</t>
  </si>
  <si>
    <t>パスワード</t>
  </si>
  <si>
    <t>管理者</t>
  </si>
  <si>
    <t>admin</t>
  </si>
  <si>
    <t>password</t>
  </si>
  <si>
    <t>店舗</t>
  </si>
  <si>
    <t>店長</t>
  </si>
  <si>
    <t>倉庫</t>
  </si>
  <si>
    <t>倉庫長</t>
  </si>
  <si>
    <t>開発ルール</t>
  </si>
  <si>
    <t>1:実務に近い開発を意識
2:複数人で開発する場合はPLを決める事
3:フレームワークの学習のためデザインなどは開発チームに一任
4:Gitではデプロイ用、結合用、作業用のブランチで分ける
    main &lt; develop &lt; 作業branch
5:不明点など、壁当たった場合はチーム内で解決
（それでも解決しない場合は代表者がレビューアーに相談)</t>
  </si>
  <si>
    <t>開発手順</t>
  </si>
  <si>
    <t>開発工程</t>
  </si>
  <si>
    <t>詳細</t>
  </si>
  <si>
    <t>基本設計の閲覧</t>
  </si>
  <si>
    <t>本Webアプリの概要の認識
（黄色のタブは全て基本設計なので閲覧してください）</t>
  </si>
  <si>
    <t>＊改修項目確認</t>
  </si>
  <si>
    <r>
      <rPr>
        <sz val="10"/>
        <color rgb="FF000000"/>
        <rFont val="ヒラギノ角ゴ ProN W3"/>
        <family val="3"/>
        <charset val="128"/>
      </rPr>
      <t xml:space="preserve">本アプリは意図的に実装していない機能、改修が必要な箇所があるので、
基本設計を全て閲覧した上で、チームで相談し、改修するか選定してください。
</t>
    </r>
    <r>
      <rPr>
        <b/>
        <sz val="10"/>
        <color rgb="FF000000"/>
        <rFont val="ヒラギノ角ゴ ProN W3"/>
        <family val="3"/>
        <charset val="128"/>
      </rPr>
      <t>こちらは必須項目ではありません。</t>
    </r>
  </si>
  <si>
    <t>タスク振り分け</t>
  </si>
  <si>
    <t>メンバーでタスクを振り分けてください
タスクの管理シートに入力
大まかなスケジュールの入力もお願いいたします。</t>
  </si>
  <si>
    <t>環境構築</t>
  </si>
  <si>
    <t>全員で同じ環境で開発するためにDockerを構築、リモートリポジトリを作成して
全体に共有してください。＊Hot Reloadの設定も
共有されたメンバーは各自環境構築してください。</t>
  </si>
  <si>
    <t>フォルダ構築</t>
  </si>
  <si>
    <t>必ず開発前に下記フォルダを作成し、役割別に管理すること
config,controller,dto,entity,repository,service
＊必要に応じて追加フォルダを作成してもよい。</t>
  </si>
  <si>
    <t>機能実装</t>
  </si>
  <si>
    <t>各自、作業ブランチで機能追加を行ってください。</t>
  </si>
  <si>
    <t>テスト</t>
  </si>
  <si>
    <t>テスト項目に従ってテストを行ってください。
※時間があればJUnitで単体テストも（別にやらなくてもいい）</t>
  </si>
  <si>
    <t>デプロイ</t>
  </si>
  <si>
    <t>リリースしてください</t>
  </si>
  <si>
    <t>レビュー</t>
  </si>
  <si>
    <t>レビューをしてもらってください。</t>
  </si>
  <si>
    <t>セル B3 に、プロジェクト主任の名前を入力します。セル E3 には、プロジェクトの開始日を入力します。プロジェクトの開始: ラベルはセル C3 にあります。</t>
  </si>
  <si>
    <t>開発 → テスト → デプロイまで</t>
  </si>
  <si>
    <t>セル E4 の週表示は、セル I4 のプロジェクトのスケジュールに表示する開始週を表します。プロジェクトの開始日は、第 1 週と見なされます。週表示を変更するには、セル E4 に新しい週番号を入力します。
セル E4 の週表示から始まる各週の開始日は、セル I4 から始まり、自動計算されます。このビューには、セル I4 からセル BF4 までの 8 週間が表示されます。
これらのセルは変更しないでください。
週表示: ラベルはセル C4 にあります。</t>
  </si>
  <si>
    <t>設定箇所：※自動化できる方いたら改修してください
① D1:E1の年月を変更する
②タスク/進捗状況/開始・終了日程を手入力
③開始〜終了に合わせて日数を任意の色で手入力</t>
  </si>
  <si>
    <t>セル I5 から BL5 には、各日付のセルの上にあるセル ブロック内に表示される週の日付の数字が含まれており、自動的に計算が行われます。
これらのセルは変更しないでください。
今日の日付は、行 5 の今日の日付からプロジェクト スケジュールの最後まで日付列全体が赤 (16 進値 #AD3815) で囲まれます。</t>
  </si>
  <si>
    <t>この行には、その下に続くプロジェクトのスケジュールの見出しが含まれます。
コンテンツを読み上げるには、B6 から BL 6 に移動します。その見出しの上にある日付の各曜日の最初の文字が、セル I6 から始まってセル BL6 まで続きます。
すべてのプロジェクトのタイムライン グラフは、条件付き書式を使用して、入力された開始日と終了日に基づいて自動生成されます。
セル I7 から始まる列 I 以降の列のセルの内容を変更しないでください。</t>
  </si>
  <si>
    <t>タスク</t>
  </si>
  <si>
    <t>進捗状況</t>
  </si>
  <si>
    <t>開始</t>
  </si>
  <si>
    <t>終了</t>
  </si>
  <si>
    <t>日数</t>
  </si>
  <si>
    <t>備考</t>
  </si>
  <si>
    <t xml:space="preserve">セル B9 には、サンプル タスク "タスク 1" が含まれます。
セル B9 に、新しいタスク名を入力します。
セル C9 にタスクを割り当てるユーザーを入力します。
セル D9 のタスクの進捗状況を入力します。進行状況バーは、セル内に表示され、セルの数に従って網かけを適用します。たとえば、50% の進捗状況はセルの半分に網かけを設定します。
セル E9 にタスクの開始日を入力します。
セル F9 にタスクの終了日を入力します。
入力した日付の網かけのステータス バーは、セル I9 から始まる BL9 までのブロックに表示されます。 </t>
  </si>
  <si>
    <t>詳細設計</t>
  </si>
  <si>
    <t>行 10 から 13 は、行 9 のパターンを繰り返します。
このワークシート内のすべてのタスク行に対し、セル A9 の手順を繰り返します。サンプル データはすべて上書きします。
別のフェーズのサンプルは、セル A14 から始まります。
セル A10 から A13 までにタスクの入力を続けるか、セル A14 に移動して詳細を確認します。</t>
  </si>
  <si>
    <t>コーディング作業</t>
  </si>
  <si>
    <t>これは空の行です</t>
  </si>
  <si>
    <t>ロードマップ化</t>
  </si>
  <si>
    <t>この行は、プロジェクトのスケジュールの終了を表します。この行には何も入力しないでください。
この行の上に新しい行を挿入して、プロジェクトのスケジュールの作成を続けます。</t>
  </si>
  <si>
    <t>この行の上に新しい行を挿入する</t>
  </si>
  <si>
    <t>祝日リスト</t>
  </si>
  <si>
    <t>日付</t>
  </si>
  <si>
    <t>祝日名</t>
  </si>
  <si>
    <t>元日</t>
  </si>
  <si>
    <t>成人の日</t>
  </si>
  <si>
    <t>建国記念の日</t>
  </si>
  <si>
    <t>天皇誕生日</t>
  </si>
  <si>
    <t>春分の日</t>
  </si>
  <si>
    <t>昭和の日</t>
  </si>
  <si>
    <t>憲法記念日</t>
  </si>
  <si>
    <t>みどりの日</t>
  </si>
  <si>
    <t>こどもの日</t>
  </si>
  <si>
    <t>振替休日</t>
  </si>
  <si>
    <t>海の日</t>
  </si>
  <si>
    <t>山の日</t>
  </si>
  <si>
    <t>敬老の日</t>
  </si>
  <si>
    <t>国民の休日</t>
  </si>
  <si>
    <t>秋分の日</t>
  </si>
  <si>
    <t>スポーツの日</t>
  </si>
  <si>
    <t>文化の日</t>
  </si>
  <si>
    <t>勤労感謝の日</t>
  </si>
  <si>
    <t>No</t>
  </si>
  <si>
    <t>優先度</t>
  </si>
  <si>
    <t>行程</t>
  </si>
  <si>
    <t>作業時間</t>
  </si>
  <si>
    <t>ステータス</t>
  </si>
  <si>
    <t>完了予定日</t>
  </si>
  <si>
    <t>ブランチ名</t>
  </si>
  <si>
    <t>担当者</t>
  </si>
  <si>
    <t>高</t>
  </si>
  <si>
    <t>01製造</t>
  </si>
  <si>
    <t>∞</t>
  </si>
  <si>
    <t>DB作成（エンティティ）</t>
  </si>
  <si>
    <t>共通</t>
  </si>
  <si>
    <t>マスタDB挿入機能</t>
  </si>
  <si>
    <t>ログイン機能実装</t>
  </si>
  <si>
    <t>ログアウト機能実装</t>
  </si>
  <si>
    <t>ユーザー一覧表示機能</t>
  </si>
  <si>
    <t>ユーザー追加/編集機能</t>
  </si>
  <si>
    <t>ユーザー削除機能</t>
  </si>
  <si>
    <t>中</t>
  </si>
  <si>
    <t>店舗一覧表示機能</t>
  </si>
  <si>
    <t>店舗追加/編集機能</t>
  </si>
  <si>
    <t>店舗削除機能</t>
  </si>
  <si>
    <t>低</t>
  </si>
  <si>
    <t>倉庫一覧表示機能</t>
  </si>
  <si>
    <t>倉庫追加/編集機能</t>
  </si>
  <si>
    <t>倉庫削除機能</t>
  </si>
  <si>
    <t>商品一覧表示機能</t>
  </si>
  <si>
    <t>商品追加機能</t>
  </si>
  <si>
    <t>商品削除機能</t>
  </si>
  <si>
    <t>連携一覧表示機能</t>
  </si>
  <si>
    <t>連携追加/編集機能</t>
  </si>
  <si>
    <t>連携削除機能</t>
  </si>
  <si>
    <t>問い合わせ一覧表示機能</t>
  </si>
  <si>
    <t>問い合わせ機能</t>
  </si>
  <si>
    <t>店舗・倉庫</t>
  </si>
  <si>
    <t>ダッシュボード</t>
  </si>
  <si>
    <t>店舗在庫一覧表示機能</t>
  </si>
  <si>
    <t>店舗在庫編集機能</t>
  </si>
  <si>
    <t>連携倉庫一覧表示</t>
  </si>
  <si>
    <t>商品発注機能</t>
  </si>
  <si>
    <t>一括発注機能（インポート）</t>
  </si>
  <si>
    <t>発注/受注商品一覧表示機能</t>
  </si>
  <si>
    <t>倉庫在庫一覧表示機能</t>
  </si>
  <si>
    <t>倉庫在庫編集機能</t>
  </si>
  <si>
    <t>受注商品ステータス変更機能</t>
  </si>
  <si>
    <t>受注/発注商品CSV主力機能</t>
  </si>
  <si>
    <t>受注/発注商品PDFダウンロード機能</t>
  </si>
  <si>
    <t>管理者画面各種テスト</t>
  </si>
  <si>
    <t>02テスト</t>
  </si>
  <si>
    <t>店舗画面各種テスト</t>
  </si>
  <si>
    <t>倉庫画面各種テスト</t>
  </si>
  <si>
    <t>03リリース</t>
  </si>
  <si>
    <t>基本設計</t>
  </si>
  <si>
    <t>開発環境</t>
  </si>
  <si>
    <r>
      <rPr>
        <b/>
        <sz val="12"/>
        <color rgb="FF000000"/>
        <rFont val="ヒラギノ角ゴ ProN W3"/>
        <family val="3"/>
        <charset val="128"/>
      </rPr>
      <t xml:space="preserve">【概要】
</t>
    </r>
    <r>
      <rPr>
        <sz val="12"/>
        <color rgb="FF000000"/>
        <rFont val="ヒラギノ角ゴ ProN W3"/>
        <family val="3"/>
        <charset val="128"/>
      </rPr>
      <t xml:space="preserve">本アプリは、店舗・倉庫・管理者の3つの異なる役割を繋ぎ
在庫管理から発注・受注業務までをシームレスに行うための業務プラットフォームです。
</t>
    </r>
    <r>
      <rPr>
        <b/>
        <sz val="12"/>
        <color rgb="FF000000"/>
        <rFont val="ヒラギノ角ゴ ProN W3"/>
        <family val="3"/>
        <charset val="128"/>
      </rPr>
      <t xml:space="preserve">1. 管理者：システム全体の基盤管理と、物流の「紐付け」を統括します。
</t>
    </r>
    <r>
      <rPr>
        <sz val="12"/>
        <color rgb="FF000000"/>
        <rFont val="ヒラギノ角ゴ ProN W3"/>
        <family val="3"/>
        <charset val="128"/>
      </rPr>
      <t xml:space="preserve">・マスタ管理: ユーザー、店舗、倉庫、商品のすべての情報をCRUD操作できます。
・連携制御: 特定の店舗がどの倉庫と取引可能かという「連携（紐付け）」を定義し、現場の誤発注を未然に防ぎます。
・全方位の状況把握: および全ユーザーの活動を管理します。
</t>
    </r>
    <r>
      <rPr>
        <b/>
        <sz val="12"/>
        <color rgb="FF000000"/>
        <rFont val="ヒラギノ角ゴ ProN W3"/>
        <family val="3"/>
        <charset val="128"/>
      </rPr>
      <t xml:space="preserve">2. 店舗スタッフ：店舗運営の効率化と、最適な発注業務をサポートします。
</t>
    </r>
    <r>
      <rPr>
        <sz val="12"/>
        <color rgb="FF000000"/>
        <rFont val="ヒラギノ角ゴ ProN W3"/>
        <family val="3"/>
        <charset val="128"/>
      </rPr>
      <t xml:space="preserve">・ダッシュボード: 直近1ヶ月の発注ランキングを可視化し、需要予測に役立てます。
・在庫/発注管理: 自店舗の在庫を把握。Excelインポートによる一括発注や、連携先倉庫へのスムーズな発注が行えます。
・帳票出力: 発注履歴のCSVエクスポートやPDFダウンロードに対応し、事務作業を効率化します。
・ユーザー管理: 同権限ユーザー管理（所属）が可能です。
</t>
    </r>
    <r>
      <rPr>
        <b/>
        <sz val="12"/>
        <color rgb="FF000000"/>
        <rFont val="ヒラギノ角ゴ ProN W3"/>
        <family val="3"/>
        <charset val="128"/>
      </rPr>
      <t xml:space="preserve">3. 倉庫スタッフ：正確な在庫管理と、迅速な出荷対応を実現します。
</t>
    </r>
    <r>
      <rPr>
        <sz val="12"/>
        <color rgb="FF000000"/>
        <rFont val="ヒラギノ角ゴ ProN W3"/>
        <family val="3"/>
        <charset val="128"/>
      </rPr>
      <t>・受注/出荷管理: 所属する倉庫に届いた受注（発注依頼）を一覧で確認し、対応ステータスを更新して店舗へ状況を伝えます。
・在庫メンテナンス: 倉庫内の商品在庫数を管理し、入庫等に伴う在庫数の増量編集を行います。
・データ活用: 受注情報のCSV出力やPDFによる帳票作成が可能です。</t>
    </r>
  </si>
  <si>
    <t>フレームワーク</t>
  </si>
  <si>
    <t xml:space="preserve">spring boot </t>
  </si>
  <si>
    <t>データベース</t>
  </si>
  <si>
    <t>mysql</t>
  </si>
  <si>
    <t>セキュリティ</t>
  </si>
  <si>
    <t>spring seqrity</t>
  </si>
  <si>
    <t>バージョン管理</t>
  </si>
  <si>
    <t>github</t>
  </si>
  <si>
    <t>フロント</t>
  </si>
  <si>
    <t>html, BootStrap
Thymeleaf, css</t>
  </si>
  <si>
    <t>リリース環境</t>
  </si>
  <si>
    <t>docker</t>
  </si>
  <si>
    <t>JUNIT</t>
  </si>
  <si>
    <t>開発手法</t>
  </si>
  <si>
    <t>ウォーターフォール型</t>
  </si>
  <si>
    <t>大区分</t>
  </si>
  <si>
    <t>中区分</t>
  </si>
  <si>
    <t>小区分（画面単位）</t>
  </si>
  <si>
    <t>機能内容</t>
  </si>
  <si>
    <t>画面ID</t>
  </si>
  <si>
    <t>認証</t>
  </si>
  <si>
    <t>レスポンシブ対応</t>
  </si>
  <si>
    <t>備考欄</t>
  </si>
  <si>
    <t>ログイン機能</t>
  </si>
  <si>
    <t>ログイン画面</t>
  </si>
  <si>
    <t>・ユーザー名とパスワードを入力しログインボタンを押下すると
　登録されているユーザーの権限ごとに異なるホーム画面に遷移できる。
　すでにログインしている場合はホーム画面に遷移する。
・管理者への問い合わせ送信画面に遷移できるボタンを実装する。</t>
  </si>
  <si>
    <t>ホーム</t>
  </si>
  <si>
    <t>ホーム画面</t>
  </si>
  <si>
    <t>・全権限で共通のホーム画面を表示する。自由に表示内容を決めていい（指定なし）</t>
  </si>
  <si>
    <t>全画面共通</t>
  </si>
  <si>
    <t>・ログインユーザーの情報表示（名前、権限、所属）
・サイドバーはメインコンテンツと分離して共通化する。
・権限によって表示する内容を変更する。
　┗ 各権限で使用できる機能ごとに画面へのアクセスを制御する。
・ログアウト機能付きのボタン等を実装する</t>
  </si>
  <si>
    <t>問い合わせ管理</t>
  </si>
  <si>
    <t>問い合わせ送信画面
（未ログインユーザー向け）</t>
  </si>
  <si>
    <t>・ログイン画面から遷移可能で未ログイン時に問い合わせが可能。
・管理者のみに送信可能。
・権限・所属・名前は自動的に任意の値で管理者に送信される。</t>
  </si>
  <si>
    <t>問い合わせ一覧画面</t>
  </si>
  <si>
    <t>・ログインユーザーと同じ権限、所属（管理者は所属なし）で
　┗ 保存されているお問い合わせのみを一覧で表示
　（問いあわせ内容、権限、所属、名前、送信日時、ステータス、詳細ボタン）
　　┗問い合わせ内容は全て表示せず、先頭の数文字だけ表示する ※文字数は自由
・絞り込み可能（ステータスで並び替え）
・登録されているお問い合わせを削除可能。お問い合わせ一覧で表示されないようにする。
　┗ 論理削除</t>
  </si>
  <si>
    <t>問い合わせ詳細画面</t>
  </si>
  <si>
    <t>・選択した問い合わせの内容表示
・ステータス変更可能
　┗未対応、対応中、対応済から選択可能して更新ができる。</t>
  </si>
  <si>
    <t>共通
（店舗・倉庫スタッフ）</t>
  </si>
  <si>
    <t>ユーザー管理</t>
  </si>
  <si>
    <t>ユーザー一覧画面</t>
  </si>
  <si>
    <t>・登録されているユーザーを一覧で表示する。（名前	、性別、権限、所属）
　┗ ログインユーザーと同じ権限のユーザーのみ表示
　┗ 所属での絞り込み可能
・新規登録画面、各ユーザーのユーザー情報編集画面に遷移が可能</t>
  </si>
  <si>
    <t>ユーザー新規登録・編集画面</t>
  </si>
  <si>
    <t>・ユーザの追加、編集を行う。
・新規登録
　入力項目（名前、パスワード、性別、権限、所属）
　┗ 名前：255文字以内で入力可能、一意
　┗ パスワード：8文字以上の半角英数字（入力値をハッシュ化してDBに登録）
　┗ 性別：選択式でそれ以外の項目が来た場合エラー
　┗ 権限：自分と同じ権限のみ登録可能
　┗ 所属：店舗・倉庫スタッフは所属登録必須
・ユーザー情報編集
　編集可能項目：所属先のみ編集可能
　＊名前変更とパスワード変更不可（管理者のみが編集可能）</t>
  </si>
  <si>
    <t xml:space="preserve">問い合わせ管理
</t>
  </si>
  <si>
    <t>問い合わせ送信画面</t>
  </si>
  <si>
    <t>・入力したお問い合わせ内容が保存されるようにする。
・入力項目（送信先、連携先、お問い合わせ内容）
　┗ 送信先：送信する権限を選択できる。操作者と異なる権限のみ選択が可能。
　┗ 連携先：送信先選択で店舗 / 倉庫を選択した場合のみ選択できるように制御する。
　　　　　　 連携管理画面で紐付けた相手だけ選択可能。
　┗ お問い合わせ内容：送信内容は入力必須（空欄不可）
　　　　　　　　　　　 255文字以内で入力可能</t>
  </si>
  <si>
    <t>・全権限のユーザーを一覧で表示する。（名前、性別、権限、所属）
　┗ 権限ごとに絞り込み可能。
・新規登録画面、各ユーザーのユーザー情報編集画面に遷移が可能
・登録されているユーザーを削除可能。ユーザー一覧で表示されないようにする。
　┗ 論理削除</t>
  </si>
  <si>
    <t>・ユーザの追加、編集、削除を行う。
・新規登録画面・ユーザー情報編集画面の入力項目（名前、パスワード、性別、権限、所属）
　┗ 名前：255文字以内で入力可能、一意
　┗ パスワード：8文字以上の半角英数字（入力値をハッシュ化してDBに登録）
　┗ 性別：選択式でそれ以外の項目が来た場合エラー
　┗ 権限：管理者、店舗スタッフ、倉庫スタッフ選択
　┗ 所属：店舗・倉庫スタッフは所属登録必須</t>
  </si>
  <si>
    <t>倉庫管理</t>
  </si>
  <si>
    <t>倉庫一覧表示画面</t>
  </si>
  <si>
    <t>・倉庫一覧表示（倉庫名、倉庫住所）
　┗ 住所での絞り込み可能（改修項目シートの項目に該当するので実装しなくても問題なし）
・新規倉庫追加画面、各倉庫の編集画面に遷移が可能
・登録されている倉庫を削除可能、倉庫一覧で表示されないようする。
　┗ 論理削除</t>
  </si>
  <si>
    <t>倉庫追加・編集画面</t>
  </si>
  <si>
    <t xml:space="preserve">・新規倉庫の追加、編集機能の実装
・追加/編集（入力項目：倉庫名、住所）
　┗ 倉庫名：255文字で入力可能・NULL不可
　┗ 住所：同上
</t>
  </si>
  <si>
    <t>店舗管理</t>
  </si>
  <si>
    <t>店舗一覧表示画面</t>
  </si>
  <si>
    <t>・店舗一覧表示（店舗名、店舗住所）
　┗ 住所での絞り込み可能（改修項目シートの項目に該当するので実装しなくても問題なし）
・新規店舗追加画面、各店舗の編集画面に遷移が可能
・登録されている店舗を削除可能、店舗一覧で表示されないようする。
　┗ 論理削除</t>
  </si>
  <si>
    <t>店舗追加・編集画面</t>
  </si>
  <si>
    <t xml:space="preserve">・新規店舗の追加、編集機能
・追加/編集（入力項目：店舗名、住所）
　┗ 店舗名：255文字で入力可能・NULL不可
　┗ 住所：同上
</t>
  </si>
  <si>
    <t>商品管理</t>
  </si>
  <si>
    <t>商品一覧画面</t>
  </si>
  <si>
    <t>・商品を一覧表示（商品名、カテゴリー）
　┗ カテゴリごとに絞り込み可能
・登録されている商品を削除可能。商品一覧で表示されないようにする。
　┗ 論理削除</t>
  </si>
  <si>
    <t>商品追加画面</t>
  </si>
  <si>
    <t>・商品追加フォーム
　┗ 商品名：255文字で入力可能・NULL不可・既存商品と同一名不可
　┗ カテゴリー：選択式
・追加した際に商品テーブルの他に各店舗・倉庫の在庫テーブルにもを追加する</t>
  </si>
  <si>
    <t>連携一覧画面</t>
  </si>
  <si>
    <t>・連携一覧表示（店舗名、倉庫名）
　┗店舗での絞り込み可能
・登録されている店舗と倉庫の連携を削除可能。連携一覧で表示されないようにする。
　┗ 論理削除</t>
  </si>
  <si>
    <t>連携追加画面</t>
  </si>
  <si>
    <t>・取引可能な店舗と倉庫の連携（紐付け）を追加
　┗ 入力項目：店舗名、倉庫名（選択式）
　┗店舗、倉庫の組み合わせは一意</t>
  </si>
  <si>
    <t>店舗スタッフ</t>
  </si>
  <si>
    <t xml:space="preserve">・店舗内での発注商品のランキング
　┗過去１か月
・全店舗での発注商品ランキング
　┗過去１か月
</t>
  </si>
  <si>
    <t>在庫管理</t>
  </si>
  <si>
    <t>店舗商品在庫一覧表示画面</t>
  </si>
  <si>
    <t>・ユーザーの所属店舗の商品在庫を一覧表示（商品名、カテゴリ、在庫数）
　┗ カテゴリで絞り込みが可能
・登録されている各商品ごとに商品在庫編集画面に遷移ができる</t>
  </si>
  <si>
    <t>店舗商品在庫編集画面</t>
  </si>
  <si>
    <t>・在庫数の編集フォーム
 　編集可能項目
　┗在庫数：数量を0以上のみで入力可能（-1などは入力不可）</t>
  </si>
  <si>
    <t>連携倉庫</t>
  </si>
  <si>
    <t>連携倉庫一覧画面</t>
  </si>
  <si>
    <t>・連携している倉庫一覧表示（倉庫名、住所）
　問い合わせボタン（倉庫IDを渡して問い合わせ管理画面へ遷移可能）</t>
  </si>
  <si>
    <t>発注管理</t>
  </si>
  <si>
    <t>発注商品選択画面</t>
  </si>
  <si>
    <t xml:space="preserve">・発注用のファイルをインポートして一括発注
　┗ファイル内の記述を読み取って商品ごとに異なる連携倉庫にまとめて発注することができる
　┗通常発注と同様になるようにバリデーション追加
・発注エクセルダウンロード
・商品一覧表示（商品名、カテゴリ、連携先合計在庫、商品選択発注の遷移ボタン）
　┗カテゴリでの絞り込み可能
・各商品の商品発注画面へ遷移が可能
</t>
  </si>
  <si>
    <t>商品発注画面</t>
  </si>
  <si>
    <t>・選択した商品名、カテゴリー、発注先倉庫名（連携倉庫名）、在庫数、発注個数が表示されている。
・発注先倉庫（連携倉庫）ごとに商品の発注数を選択可能。（連携倉庫のみ表示、数は正数のみ）
　┗送信後、発注商品選択画面に遷移可能</t>
  </si>
  <si>
    <t>発注履歴確認画面</t>
  </si>
  <si>
    <t>・過去に発注した商品履歴を一覧で表示（商品名、倉庫名、発注数、ステータス、発注日時、更新日時）
　┗期間、ステータスでの絞り込み可能
・CSVエクスポート
　┗発注情報の履歴をまとめたCSVを一括取得可能
・PDFダウンロード
　┗発注情報の履歴をまとめたPDFを書き出し可能</t>
  </si>
  <si>
    <t>倉庫スタッフ</t>
  </si>
  <si>
    <t>倉庫在庫管理</t>
  </si>
  <si>
    <t>倉庫商品在庫一覧画面</t>
  </si>
  <si>
    <t>・商品在庫一覧表示（倉庫名、カテゴリー、商品名、在庫数）
　┗ カテゴリでの絞り込み可能
　┗ 編集ボタンで各商品の倉庫商品在庫一覧画面へ遷移が可能</t>
  </si>
  <si>
    <t>倉庫商品在庫編集画面</t>
  </si>
  <si>
    <t>・商品在庫編集
　┗ 商品在庫数を増減して更新できる
　┗ 数量は0以上のみで入力可能（-1などは入力不可）</t>
  </si>
  <si>
    <t>受注管理</t>
  </si>
  <si>
    <t>受注管理画面</t>
  </si>
  <si>
    <t>・ログインしているユーザーの所属する倉庫の受注一覧表示（過去履歴も表示される）
　（発注元店舗	商品名	発注個数	ステータス	発注日時	更新日時）　
　┗ ステータスを変更可能（準備中、発注済）
　┗ 期間、ステータスで絞り込み
・CSVエクスポート
　┗受注の履歴をまとめたCSVを一括取得可能
・PDFダウンロード
　┗受注の履歴をまとめたPDFを書き出し可能</t>
  </si>
  <si>
    <t>表1</t>
  </si>
  <si>
    <t>必要テーブル</t>
  </si>
  <si>
    <t>マスタDB</t>
  </si>
  <si>
    <t>権限テーブル</t>
  </si>
  <si>
    <t>1：管理者
2：店舗
3：倉庫</t>
  </si>
  <si>
    <t>ユーザーテーブル</t>
  </si>
  <si>
    <t xml:space="preserve">1：管理者
</t>
  </si>
  <si>
    <t>商品カテゴリテーブル</t>
  </si>
  <si>
    <t>1：食品
2：日用品
3：家電
4：衣料品
5：その他</t>
  </si>
  <si>
    <t>商品テーブル</t>
  </si>
  <si>
    <t>店舗テーブル</t>
  </si>
  <si>
    <t>店舗在庫テーブル</t>
  </si>
  <si>
    <t>倉庫テーブル</t>
  </si>
  <si>
    <t>倉庫在庫テーブル</t>
  </si>
  <si>
    <t>連携テーブル</t>
  </si>
  <si>
    <t>発注テーブル</t>
  </si>
  <si>
    <t>発注詳細テーブル</t>
  </si>
  <si>
    <t>集計テーブル</t>
  </si>
  <si>
    <t>問い合わせテーブル</t>
  </si>
  <si>
    <t>システム名</t>
  </si>
  <si>
    <t>InventoryMG</t>
  </si>
  <si>
    <t>担当</t>
  </si>
  <si>
    <t>秋田</t>
  </si>
  <si>
    <t>作成日</t>
  </si>
  <si>
    <t>更新日</t>
  </si>
  <si>
    <t>DB</t>
  </si>
  <si>
    <t>SQL</t>
  </si>
  <si>
    <t>テーブル名</t>
  </si>
  <si>
    <t>用途</t>
  </si>
  <si>
    <t>Sample</t>
  </si>
  <si>
    <t>主キー</t>
  </si>
  <si>
    <t>カラム名</t>
  </si>
  <si>
    <t>項目名</t>
  </si>
  <si>
    <t>データ型</t>
  </si>
  <si>
    <t>NOT NULL</t>
  </si>
  <si>
    <t>UNIQUE</t>
  </si>
  <si>
    <t>DEFAULT</t>
  </si>
  <si>
    <t>category</t>
  </si>
  <si>
    <t>商品のカテゴリ分け</t>
  </si>
  <si>
    <t>category_id</t>
  </si>
  <si>
    <t>カテゴリーID</t>
  </si>
  <si>
    <t>INTEGER</t>
  </si>
  <si>
    <t>SERIAL</t>
  </si>
  <si>
    <t>category_name</t>
  </si>
  <si>
    <t>カテゴリー</t>
  </si>
  <si>
    <t>VARCHAR(255)</t>
  </si>
  <si>
    <t>delete_flag</t>
  </si>
  <si>
    <t>デリートフラグ</t>
  </si>
  <si>
    <t xml:space="preserve">DEFULT:0 </t>
  </si>
  <si>
    <t>authority</t>
  </si>
  <si>
    <t>権限分け</t>
  </si>
  <si>
    <t>authority_id</t>
  </si>
  <si>
    <t>権限ID</t>
  </si>
  <si>
    <t>authority_name</t>
  </si>
  <si>
    <t>warehouse</t>
  </si>
  <si>
    <t>倉庫情報</t>
  </si>
  <si>
    <t>warehouse_id</t>
  </si>
  <si>
    <t>倉庫ID</t>
  </si>
  <si>
    <t>warehouse_name</t>
  </si>
  <si>
    <t>倉庫名</t>
  </si>
  <si>
    <t>shop</t>
  </si>
  <si>
    <t>店舗情報</t>
  </si>
  <si>
    <t>shop_id</t>
  </si>
  <si>
    <t>店舗ID</t>
  </si>
  <si>
    <t>shop_name</t>
  </si>
  <si>
    <t>店舗名</t>
  </si>
  <si>
    <t>goods</t>
  </si>
  <si>
    <t>商品一覧</t>
  </si>
  <si>
    <t>goods_id</t>
  </si>
  <si>
    <t>商品ID</t>
  </si>
  <si>
    <t>goods_name</t>
  </si>
  <si>
    <t>商品名</t>
  </si>
  <si>
    <t>外部キー</t>
  </si>
  <si>
    <t>warehouse_stock</t>
  </si>
  <si>
    <t>倉庫在庫</t>
  </si>
  <si>
    <t>warehouse_stock_id</t>
  </si>
  <si>
    <t>倉庫在庫ID</t>
  </si>
  <si>
    <t>warehouse_stock_quantity</t>
  </si>
  <si>
    <t>在庫数</t>
  </si>
  <si>
    <t>DEFAULT：0</t>
  </si>
  <si>
    <t>shop_stock</t>
  </si>
  <si>
    <t>店舗在庫</t>
  </si>
  <si>
    <t>shop_stock_id</t>
  </si>
  <si>
    <t>店舗在庫ID</t>
  </si>
  <si>
    <t>order</t>
  </si>
  <si>
    <t>order_id</t>
  </si>
  <si>
    <t>発注ID</t>
  </si>
  <si>
    <t>warehuse_id</t>
  </si>
  <si>
    <t>order_amount</t>
  </si>
  <si>
    <t>発注数</t>
  </si>
  <si>
    <t>order_status</t>
  </si>
  <si>
    <t>発注状況</t>
  </si>
  <si>
    <t>DEFAULT：準備中</t>
  </si>
  <si>
    <t>order_date</t>
  </si>
  <si>
    <t>発注日時</t>
  </si>
  <si>
    <t>TIMESTANP</t>
  </si>
  <si>
    <t>CURRENT_TIMESTAMP</t>
  </si>
  <si>
    <t>update_date</t>
  </si>
  <si>
    <t>更新日時</t>
  </si>
  <si>
    <t>user</t>
  </si>
  <si>
    <t>user_id</t>
  </si>
  <si>
    <t>ユーザーID</t>
  </si>
  <si>
    <t>user_name</t>
  </si>
  <si>
    <t>名前</t>
  </si>
  <si>
    <t>user_password</t>
  </si>
  <si>
    <t>VARCHAR(256)</t>
  </si>
  <si>
    <t>user_gender</t>
  </si>
  <si>
    <t>性別</t>
  </si>
  <si>
    <t>外部キーDEFAULT：NULL</t>
  </si>
  <si>
    <t>inquiry</t>
  </si>
  <si>
    <t>問いあわせ</t>
  </si>
  <si>
    <t>inquiry_id</t>
  </si>
  <si>
    <t>問いあわせID</t>
  </si>
  <si>
    <t>inquiry_category_id</t>
  </si>
  <si>
    <t>問い合わせカテゴリ名</t>
  </si>
  <si>
    <t>inquiry_detail</t>
  </si>
  <si>
    <t>問いあわせ内容</t>
  </si>
  <si>
    <t>inquiry_date</t>
  </si>
  <si>
    <t>送信日時</t>
  </si>
  <si>
    <t>inquiry_status</t>
  </si>
  <si>
    <t>DEFAULT：未対応</t>
  </si>
  <si>
    <t>外部キー　DEFULT:NULL</t>
  </si>
  <si>
    <t>Relation</t>
  </si>
  <si>
    <t>店舗情報と倉庫情報の連携</t>
  </si>
  <si>
    <t>relation_id</t>
  </si>
  <si>
    <t>連携ID</t>
  </si>
  <si>
    <t>daily_order_summary</t>
  </si>
  <si>
    <t>summary_id</t>
  </si>
  <si>
    <t>集計ID</t>
  </si>
  <si>
    <t>count_date</t>
  </si>
  <si>
    <t>集計日</t>
  </si>
  <si>
    <t>DATE</t>
  </si>
  <si>
    <t>goods_amount</t>
  </si>
  <si>
    <t>商品合計</t>
  </si>
  <si>
    <t>　権限名</t>
  </si>
  <si>
    <t>null</t>
  </si>
  <si>
    <t>カテゴリ</t>
  </si>
  <si>
    <t>カテゴリID</t>
  </si>
  <si>
    <t>カテゴリ名</t>
  </si>
  <si>
    <t>にんじん</t>
  </si>
  <si>
    <t>御徒町</t>
  </si>
  <si>
    <t>relation</t>
  </si>
  <si>
    <t>連携管理ID</t>
  </si>
  <si>
    <t>発注個数</t>
  </si>
  <si>
    <t>inquery</t>
  </si>
  <si>
    <t>権限ID（送付先の</t>
  </si>
  <si>
    <t>テストNo</t>
  </si>
  <si>
    <t>大項目</t>
  </si>
  <si>
    <t>中項目</t>
  </si>
  <si>
    <t>観点</t>
  </si>
  <si>
    <t>前提条件</t>
  </si>
  <si>
    <t>操作手順入力値</t>
  </si>
  <si>
    <t>期待結果（画面ログDB）</t>
  </si>
  <si>
    <t>結果</t>
  </si>
  <si>
    <t>実施者</t>
  </si>
  <si>
    <t>確認済み</t>
  </si>
  <si>
    <t>【1. ログイン・アクセス制御】</t>
  </si>
  <si>
    <t>認証・認可</t>
  </si>
  <si>
    <t>ログイン</t>
  </si>
  <si>
    <t>異常系</t>
  </si>
  <si>
    <t>入力チェック</t>
  </si>
  <si>
    <t>ー</t>
  </si>
  <si>
    <t>各入力項目に何も入力せずにログインボタンを押下する。</t>
  </si>
  <si>
    <t>ログインができずエラーメッセージが表示されること。</t>
  </si>
  <si>
    <t>OK</t>
  </si>
  <si>
    <t>小松</t>
  </si>
  <si>
    <t>x</t>
  </si>
  <si>
    <t>各入力項目に誤った値を入力しログインボタンを押下する。</t>
  </si>
  <si>
    <t>正常系</t>
  </si>
  <si>
    <t>ログイン・遷移確認</t>
  </si>
  <si>
    <t>管理者、店舗、倉庫のいずれかのアカウントが存在する</t>
  </si>
  <si>
    <t>正しいユーザー名とパスワードを入力しログインボタンを押下する。</t>
  </si>
  <si>
    <t>ログインができて該当する権限のホーム画面に遷移すること。</t>
  </si>
  <si>
    <t>アクセス制限</t>
  </si>
  <si>
    <t>ログイン済み</t>
  </si>
  <si>
    <t>ログイン済み状態で再度 /login にアクセスする。</t>
  </si>
  <si>
    <t>ログイン画面は表示されず、トップページに自動でリダイレクトされること。</t>
  </si>
  <si>
    <t>ログイン済み（店舗・倉庫）</t>
  </si>
  <si>
    <t>ログイン状態の店舗・倉庫アカウントで /user等 (管理者限定ページ) に直接アクセスする。</t>
  </si>
  <si>
    <t>403 Forbidden エラー(アクセス権限なし)となること。</t>
  </si>
  <si>
    <t>未ログイン状態で /user 等の保護されたページに直接アクセスする。</t>
  </si>
  <si>
    <t>保護ページは表示されず、ログインページに自動でリダイレクトされること。</t>
  </si>
  <si>
    <t>ログアウト</t>
  </si>
  <si>
    <t>ログアウト確認</t>
  </si>
  <si>
    <t>ログイン状態でログアウトボタンを押下する。</t>
  </si>
  <si>
    <t>ログインページに遷移し、「ログアウトしました」等と表示されること。</t>
  </si>
  <si>
    <t>【2. 共通機能】</t>
  </si>
  <si>
    <t>ホーム機能</t>
  </si>
  <si>
    <t>表示制御確認</t>
  </si>
  <si>
    <t>ログイン直後のホーム画面を表示する。</t>
  </si>
  <si>
    <t>全権限で共通のホーム画面レイアウトが表示されること。</t>
  </si>
  <si>
    <t>サイドバー機能</t>
  </si>
  <si>
    <t>ログイン済み（複数権限で確認）</t>
  </si>
  <si>
    <t>サイドバーの表示を確認する。</t>
  </si>
  <si>
    <t>各権限で使用できる機能のメニューのみが表示されていること。（権限外のメニューが見えない・押せないこと）</t>
  </si>
  <si>
    <t>問い合わせ管理機能
（お問い合わせ一覧）</t>
  </si>
  <si>
    <t>全ての権限でログイン済み</t>
  </si>
  <si>
    <t>サイドバーから「問い合わせ管理画面」へ遷移する。</t>
  </si>
  <si>
    <t>・ログインユーザーと同じ権限・所属宛のデータのみ表示されること。
・送信者の情報が表示されていること（権限・所属・送信者の名前）
・管理者の場合は「管理者宛ての全データ」が表示されること。
　┗ 未ログインのユーザーからのお問い合わせも表示されていること。</t>
  </si>
  <si>
    <t>峯岸</t>
  </si>
  <si>
    <t>ソート機能確認</t>
  </si>
  <si>
    <t>問い合わせデータが複数存在する（全権限対象）</t>
  </si>
  <si>
    <t>問い合わせ管理一覧画面にてフィルターからステータスを変更し並び替えを行う。</t>
  </si>
  <si>
    <t>指定した条件で並び替えされた一覧が表示されること。</t>
  </si>
  <si>
    <t>問い合わせ管理機能
（お問い合わせ詳細）</t>
  </si>
  <si>
    <t>データ更新確認</t>
  </si>
  <si>
    <t>問い合わせデータが存在する（全権限対象）</t>
  </si>
  <si>
    <t>問い合わせ管理画面の詳細から任意の問い合わせを開き、ステータス（未対応、対応中、対応済み）を変更して保存する。</t>
  </si>
  <si>
    <t>ステータスが変更され、DB（ステータスカラム）に正しく更新が反映されること。</t>
  </si>
  <si>
    <t>共通（店舗・倉庫スタッフ）</t>
  </si>
  <si>
    <t>問い合わせ機能
（お問い合わせ送信）</t>
  </si>
  <si>
    <t>データ登録確認</t>
  </si>
  <si>
    <t>全ての権限でログイン済/連携先などが存在</t>
  </si>
  <si>
    <t>送信先(連携先または管理者対象)、本文を入力し、問い合わせを送信する。</t>
  </si>
  <si>
    <t>・問い合わせの送信に成功し、DBのテーブルに対象宛としてデータが作成されること。
・送信先のお問い合わせ一覧に内容が反映されていること。</t>
  </si>
  <si>
    <t>表示・抽出確認</t>
  </si>
  <si>
    <t>連携管理で連携先が登録されていること</t>
  </si>
  <si>
    <t>送信先を管理者以外で選択し、連携先の選択肢内容を確認する。</t>
  </si>
  <si>
    <t>連携管理で登録した連携先のみ選択肢として表示され、
連携先が選択できること。</t>
  </si>
  <si>
    <t>連携管理で連携先が未登録であること</t>
  </si>
  <si>
    <t>送信先を管理者以外で選択し、未連携の相手等を選択する</t>
  </si>
  <si>
    <t>連携先の選択肢が表示されず、選択もできないこと。</t>
  </si>
  <si>
    <t>入力/業務ロジックチェック</t>
  </si>
  <si>
    <t>各選択項目（権限、送信先、連携先）を未選択、お問い合わせ内容を未入力のまま送信ボタンを押下する</t>
  </si>
  <si>
    <t>各バリデーションが発生しエラーとなり、問い合わせが送信できないこと。</t>
  </si>
  <si>
    <t>ユーザー一覧表示</t>
  </si>
  <si>
    <t>店舗または倉庫権限でログイン済み</t>
  </si>
  <si>
    <t>ユーザー一覧画面を開く、または所属での絞り込みを行う。</t>
  </si>
  <si>
    <t>「自分と同じ権限」に絞られたユーザーのみが表示され、かつ所属での絞り込みが行えること。</t>
  </si>
  <si>
    <t>ユーザー操作機能</t>
  </si>
  <si>
    <t>データ登録・更新確認</t>
  </si>
  <si>
    <t>追加・編集にて、名前(255文字内)、パスワード(8文字以上)、性別、所属(必須)を入力し、権限を自分と同じものにして保存する。</t>
  </si>
  <si>
    <t>ユーザーが保存され、DBにパスワードがハッシュ化されて追加・更新されること。</t>
  </si>
  <si>
    <t>バリデーション・相関</t>
  </si>
  <si>
    <t>追加入力項目にて「名前が256文字以上」「パスワードが7文字以下」「所属未選択」「選択外の性別」などで保存する。</t>
  </si>
  <si>
    <t>バリデーションが機能し、適切なエラーメッセージが表示されて保存できないこと。</t>
  </si>
  <si>
    <t>業務ロジック（表示等）</t>
  </si>
  <si>
    <t>権限選択項目について確認・操作する。</t>
  </si>
  <si>
    <t>「自分と同じ権限のみ」しか選択できないように制御（HTML側等で固定）されていること。</t>
  </si>
  <si>
    <t>【3. 管理者機能：ユーザー・マスタ整備】</t>
  </si>
  <si>
    <t>ユーザー管理機能</t>
  </si>
  <si>
    <t>遷移・表示確認</t>
  </si>
  <si>
    <t>管理者でログイン済み</t>
  </si>
  <si>
    <t>ホーム画面でサイドバーから「ユーザー管理」をクリックする。</t>
  </si>
  <si>
    <t>登録済みの全ユーザーが一覧表示されること。</t>
  </si>
  <si>
    <t>データ抽出確認</t>
  </si>
  <si>
    <t>権限プルダウンから「管理者」「店舗」「倉庫」をそれぞれ選択して絞り込む。</t>
  </si>
  <si>
    <t>選択した権限を持つユーザーのみが一覧に表示されること。</t>
  </si>
  <si>
    <t>ユーザー新規追加</t>
  </si>
  <si>
    <t>ユーザー一覧から新規追加を押下し、全ての必須項目を正しく入力してユーザーを登録する。</t>
  </si>
  <si>
    <t>一覧画面に戻り新しいユーザーが追加され、DBにはパスワードがハッシュ化されて保存されること。</t>
  </si>
  <si>
    <t>既に存在する「ユーザー名」を入力して登録する。</t>
  </si>
  <si>
    <t>登録不可。「このユーザー名は既に使用されています」等のエラーが出ること。</t>
  </si>
  <si>
    <t>各入力項目に何も入力・選択せずに登録する。</t>
  </si>
  <si>
    <t>登録不可。各項目にエラーメッセージが出ること。</t>
  </si>
  <si>
    <t>8文字未満のパスワードを入力して登録する。</t>
  </si>
  <si>
    <t>登録不可。「パスワードは8文字以上で入力してください」等のエラーが出ること。</t>
  </si>
  <si>
    <t>入力チェック（相関）</t>
  </si>
  <si>
    <t>権限に「店舗」を選択し、「所属店舗」を未選択の状態で登録する。</t>
  </si>
  <si>
    <t>登録不可。「所属店舗を選択してください」等のエラーが出ること。</t>
  </si>
  <si>
    <t>権限に「倉庫」を選択し、「所属倉庫」を未選択の状態で登録する。</t>
  </si>
  <si>
    <t>登録不可。「所属倉庫を選択してください」等のエラーが出ること。</t>
  </si>
  <si>
    <t>ユーザー情報編集</t>
  </si>
  <si>
    <t>既存ユーザーの情報を変更（パスワード以外）して更新する。</t>
  </si>
  <si>
    <t>一覧画面に戻り、変更内容が正しく反映されていること。</t>
  </si>
  <si>
    <t>パスワード以外のユーザー情報を変更して保存した後、一度ログアウトし、元のパスワードで再度ログインを試行する。</t>
  </si>
  <si>
    <t xml:space="preserve">保存した情報が反映されており、かつ元のパスワードで正常にログインできること。 </t>
  </si>
  <si>
    <t>パスワード更新確認</t>
  </si>
  <si>
    <t>パスワードを変更して更新する。</t>
  </si>
  <si>
    <t>更新が完了し、新しいパスワードで次回からログインできること。</t>
  </si>
  <si>
    <t>ユーザー削除</t>
  </si>
  <si>
    <t>論理削除確認</t>
  </si>
  <si>
    <t>ユーザー一覧から特定のユーザーの削除ボタンを押下する。</t>
  </si>
  <si>
    <t>一覧から対象ユーザーが消え、論理削除が完了すること。</t>
  </si>
  <si>
    <t>店舗マスタ管理</t>
  </si>
  <si>
    <t>店舗 一覧表示</t>
  </si>
  <si>
    <t>ホーム画面でサイドバーから「店舗一覧」をクリックする。</t>
  </si>
  <si>
    <t>登録済みの全店舗が一覧表示されること。</t>
  </si>
  <si>
    <t>検索確認</t>
  </si>
  <si>
    <t>店舗一覧画面にて住所で絞り込み検索を行う。</t>
  </si>
  <si>
    <t>一致する住所の店舗情報のみが絞り込まれて表示されること。</t>
  </si>
  <si>
    <t>店舗 新規追加</t>
  </si>
  <si>
    <t>店舗追加・在庫生成確認</t>
  </si>
  <si>
    <t>新しい店舗を「店舗名」を入力して登録する。</t>
  </si>
  <si>
    <t>店舗一覧に追加され、同時に【全商品】に対する「在庫0の店舗在庫レコード(ShopStock)」が自動生成されること。</t>
  </si>
  <si>
    <t>入力チェック（重複）</t>
  </si>
  <si>
    <t>既に存在する店舗名で登録する。</t>
  </si>
  <si>
    <t>登録不可。「既に店舗名は存在します」とエラーになること。</t>
  </si>
  <si>
    <t>店舗 削除</t>
  </si>
  <si>
    <t>対象の店舗削除を実行する。</t>
  </si>
  <si>
    <t>DBの該当店舗の削除フラグが更新され、一覧から消えること。</t>
  </si>
  <si>
    <t>倉庫マスタ管理</t>
  </si>
  <si>
    <t>倉庫 一覧表示</t>
  </si>
  <si>
    <t>ホーム画面でサイドバーから「倉庫一覧」をクリックする。</t>
  </si>
  <si>
    <t>登録済みの全倉庫が一覧表示されること。</t>
  </si>
  <si>
    <t>倉庫一覧画面を開き、住所で絞り込みを行う。</t>
  </si>
  <si>
    <t>指定した住所に一致する倉庫情報のみが一覧に表示されること。</t>
  </si>
  <si>
    <t>倉庫 新規追加</t>
  </si>
  <si>
    <t>倉庫追加・在庫生成確認</t>
  </si>
  <si>
    <t>新しい倉庫を「倉庫名」を入力して登録する。</t>
  </si>
  <si>
    <t>倉庫一覧に追加され、同時に【全商品】に対する「在庫0の倉庫在庫レコード(WarehouseStock)」が自動生成されること。</t>
  </si>
  <si>
    <t>倉庫追加画面で、倉庫名・住所を未入力（NULL）で保存を実行する。</t>
  </si>
  <si>
    <t>エラーが表示され、保存処理が弾かれること。</t>
  </si>
  <si>
    <t>倉庫 削除</t>
  </si>
  <si>
    <t>対象の倉庫削除処理を実行する。</t>
  </si>
  <si>
    <t>DBの該当倉庫の削除フラグが更新され、一覧から消えるること。</t>
  </si>
  <si>
    <t>商品マスタ管理</t>
  </si>
  <si>
    <t>商品 新規追加</t>
  </si>
  <si>
    <t>商品追加・連動レコード確認</t>
  </si>
  <si>
    <t>新しい商品情報を入力して登録する。</t>
  </si>
  <si>
    <t>商品一覧に追加され、同時に【全店舗・全倉庫】に対し「対象商品の在庫0レコード」が自動生成されること。</t>
  </si>
  <si>
    <t>商品 削除</t>
  </si>
  <si>
    <t>論理削除・連動削除確認</t>
  </si>
  <si>
    <t>特定の商品を削除する。</t>
  </si>
  <si>
    <t>商品一覧から消え、関連する店舗在庫・倉庫在庫も【一括で】論理削除フラグが立つこと。</t>
  </si>
  <si>
    <t>連携マスタ管理</t>
  </si>
  <si>
    <t>店舗倉庫連携</t>
  </si>
  <si>
    <t>管理者でログイン済 &amp; 未連携の店舗・倉庫が存在</t>
  </si>
  <si>
    <t>連携追加画面にて、取引可能な店舗と倉庫を選択して連携（紐付け）を追加する。</t>
  </si>
  <si>
    <t>重複でなければ連携が成功し、以後の店舗の発注先として有効になること。</t>
  </si>
  <si>
    <t>【4. 店舗スタッフ機能：発注業務の流れ】</t>
  </si>
  <si>
    <t>ダッシュボード機能</t>
  </si>
  <si>
    <t>店舗スタッフでログイン済み</t>
  </si>
  <si>
    <t>ホーム画面を開く。</t>
  </si>
  <si>
    <t>店舗ごとの過去1ヶ月の発注商品ランキングと、全商品の発注ランキングが正しく表示されること。</t>
  </si>
  <si>
    <t>在庫確認機能</t>
  </si>
  <si>
    <t>在庫管理画面を開く。</t>
  </si>
  <si>
    <t>「自分の所属する店舗」の在庫情報のみが表示されること。（他店舗は見えない）</t>
  </si>
  <si>
    <t>検索・抽出確認</t>
  </si>
  <si>
    <t>店舗商品在庫一覧画面を開き、カテゴリで絞り込みを行う。</t>
  </si>
  <si>
    <t>所属店舗の商品在庫のみが表示され、カテゴリ絞り込みが正しく機能すること。</t>
  </si>
  <si>
    <t>店舗スタッフでログイン済/連携済の倉庫が存在</t>
  </si>
  <si>
    <t>倉庫在庫一覧画面を開き、倉庫名で絞り込みを行う。</t>
  </si>
  <si>
    <t>連携している（紐付けられた）倉庫の商品在庫情報のみが表示され、倉庫名絞り込みが機能すること。</t>
  </si>
  <si>
    <t>連携倉庫管理機能</t>
  </si>
  <si>
    <t>画面遷移・引継ぎ確認</t>
  </si>
  <si>
    <t>連携倉庫管理画面から、対象倉庫の「在庫ボタン」「問い合わせボタン」を押下する。</t>
  </si>
  <si>
    <t>対象の倉庫情報を引き継いだ状態で、各一覧画面・問い合わせ作成画面へ正しく遷移できること。</t>
  </si>
  <si>
    <t>発注機能</t>
  </si>
  <si>
    <t>データ更新・連動確認</t>
  </si>
  <si>
    <t>店舗スタッフでログイン済/連携済倉庫に十分な在庫がある</t>
  </si>
  <si>
    <t>発注画面より対象の連携倉庫、商品、個数を入力し発注を実行する。</t>
  </si>
  <si>
    <t>発注履歴が作成され、対象倉庫の在庫商品から発注個数分が正しく「マイナス（UPDATE）」されること。</t>
  </si>
  <si>
    <t>業務ロジック（在庫不足）確認</t>
  </si>
  <si>
    <t>発注画面で、対象倉庫の「現在の在庫数」を超える個数を指定して発注を実行する。</t>
  </si>
  <si>
    <t>発注失敗となり、在庫不足のエラーメッセージが画面に表示されDBの在庫数は変更されないこと。</t>
  </si>
  <si>
    <t>業務ロジック（同時発注）確認</t>
  </si>
  <si>
    <t>2つ以上のアカウントで店舗スタッフでログイン済/同じ連携済倉庫で登録済み/商品在庫がある</t>
  </si>
  <si>
    <t>同時に2アカウント以上から同じ倉庫の同じ商品に対して在庫が無くなるように全て発注する。（同時であれば方法はなんでもよい）</t>
  </si>
  <si>
    <t>片方は成功し、もう片方はエラー（在庫不足や楽観ロックエラーなど）で発注失敗となること。</t>
  </si>
  <si>
    <t>発注機能（一括）</t>
  </si>
  <si>
    <t>データ一括処理・フォーマット出力確認</t>
  </si>
  <si>
    <t>店舗スタッフでログイン済/適切なCSVを用意</t>
  </si>
  <si>
    <t>発注画面からCSVインポート、およびPDFダウンロードを実行する。</t>
  </si>
  <si>
    <t>CSV内の発注が一括処理され各在庫に反映されること。また月間発注情報のPDFがダウンロードできること。</t>
  </si>
  <si>
    <t>【5. 倉庫スタッフ機能：在庫補充・受注対応】</t>
  </si>
  <si>
    <t>倉庫スタッフでログイン済み</t>
  </si>
  <si>
    <t>倉庫アカウントでログインし、自分の在庫管理画面を開く。</t>
  </si>
  <si>
    <t>「自分の所属する倉庫」の在庫情報のみが表示されること。（他倉庫は見えない）</t>
  </si>
  <si>
    <t>在庫追加機能</t>
  </si>
  <si>
    <t>データ更新・加算確認</t>
  </si>
  <si>
    <t>倉庫商品在庫追加画面から、任意の商品を選択し在庫入力フォームにて数を増やす。</t>
  </si>
  <si>
    <t>指定した商品の在庫数が「入力した分だけ加算」され、DBの数量が直接保存（UPDATE）されること。</t>
  </si>
  <si>
    <t>受注管理機能</t>
  </si>
  <si>
    <t>表示・レコード更新確認</t>
  </si>
  <si>
    <t>倉庫スタッフでログイン済/自社向け受注が存在する</t>
  </si>
  <si>
    <t>所属倉庫の受注一覧画面を開き、ステータス変更（準備中⇔発送済み）を実行して保存・絞り込む。</t>
  </si>
  <si>
    <t>自社倉庫宛ての受注のみが表示されており、ステータス変更のDB反映と絞り込みが正しく機能すること。</t>
  </si>
  <si>
    <t>複数商品の一括発注機能の実装にチャレンジ</t>
  </si>
  <si>
    <t>現状の仕様と課題</t>
  </si>
  <si>
    <t xml:space="preserve">現在のシステムでは、1回の発注処理につき1つの商品しか発注できません。
しかし、実際の店舗での発注業務を考えると、
1回の発注で複数の商品をまとめて発注できた方が便利です。
</t>
  </si>
  <si>
    <t>ミッション</t>
  </si>
  <si>
    <t xml:space="preserve">現在の仕様を改修し、
「1回の発注で複数の商品をまとめて発注できる機能」
の実装にチャレンジしてみてください。
</t>
  </si>
  <si>
    <t>問い合わせのカテゴリー機能の実装にチャレンジ</t>
  </si>
  <si>
    <t xml:space="preserve">現在のシステムでは、問い合わせ内容に対して
「どのような種類の問い合わせか（カテゴリー）」を分類する仕様になっていません。 
しかし実際にシステムを運用し始めると
「クレーム関連」なのか「パスワード紛失に関する質問」なのかなど、
内容のカテゴリーが一目で判別できた方が、
対応の優先順位づけや担当者の振り分けがスムーズになります。
</t>
  </si>
  <si>
    <t xml:space="preserve">現在の仕様を改修し、
「問い合わせを送信する際にカテゴリーを選択し、一覧・詳細画面でそのカテゴリーを確認できる機能」
「問い合わせをカテゴリーで絞り込み表示できる機能」
の実装にチャレンジしてみてください。
</t>
  </si>
  <si>
    <t>都道府県による一覧の絞り込み機能にチャレンジ</t>
  </si>
  <si>
    <t xml:space="preserve">現在のシステムでは、管理者が確認できる店舗/倉庫一覧画面において、
すべてのデータがそのまま表示されるだけで
「絞り込み機能」が存在しない仕様になっています。
しかし今後システムが成長し、全国に店舗や倉庫の数が増え続けることを考えると
「東京都」や「大阪府」のように都道府県単位で対象を絞り込み検索できた方が便利です。
</t>
  </si>
  <si>
    <t xml:space="preserve">現在の仕様を改修し、
「管理者が確認できる店舗/倉庫一覧画面において、「都道府県」のセレクトボックスで絞り込み表示できる機能」
の実装にチャレンジしてみてください。
</t>
  </si>
  <si>
    <t>連携管理
管理者が事前に定義した
店舗・倉庫間の紐付けに基づき、
店舗側での表示対象倉庫を限定する。</t>
    <phoneticPr fontId="3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</si>
</sst>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aaa\,\ yyyy/m/d"/>
    <numFmt numFmtId="177" formatCode="yyyy&quot;年&quot;m&quot;月&quot;;@"/>
    <numFmt numFmtId="178" formatCode="d"/>
    <numFmt numFmtId="179" formatCode="m/d/yy;@"/>
  </numFmts>
  <fonts count="37">
    <font>
      <sz val="10"/>
      <color indexed="8"/>
      <name val="ヒラギノ角ゴ ProN W3"/>
    </font>
    <font>
      <sz val="12"/>
      <color indexed="8"/>
      <name val="ヒラギノ角ゴ ProN W3"/>
      <family val="3"/>
      <charset val="128"/>
    </font>
    <font>
      <sz val="10"/>
      <color indexed="9"/>
      <name val="ヒラギノ角ゴ ProN W6"/>
      <family val="3"/>
      <charset val="128"/>
    </font>
    <font>
      <sz val="11"/>
      <color rgb="FF242424"/>
      <name val="Yu Gothic"/>
      <family val="3"/>
      <charset val="128"/>
    </font>
    <font>
      <b/>
      <sz val="11"/>
      <name val="Calibri"/>
      <family val="2"/>
    </font>
    <font>
      <sz val="11"/>
      <color rgb="FF000000"/>
      <name val="Calibri"/>
      <family val="2"/>
    </font>
    <font>
      <sz val="9"/>
      <color rgb="FF000000"/>
      <name val="Consolas"/>
      <family val="3"/>
    </font>
    <font>
      <u/>
      <sz val="10"/>
      <color theme="10"/>
      <name val="ヒラギノ角ゴ ProN W3"/>
      <family val="3"/>
      <charset val="128"/>
    </font>
    <font>
      <sz val="28"/>
      <color indexed="8"/>
      <name val="ヒラギノ角ゴ ProN W3"/>
      <family val="3"/>
      <charset val="128"/>
    </font>
    <font>
      <sz val="12"/>
      <color rgb="FF000000"/>
      <name val="ヒラギノ角ゴ ProN W3"/>
      <family val="3"/>
      <charset val="128"/>
    </font>
    <font>
      <b/>
      <sz val="12"/>
      <color rgb="FF000000"/>
      <name val="ヒラギノ角ゴ ProN W3"/>
      <family val="3"/>
      <charset val="128"/>
    </font>
    <font>
      <sz val="28"/>
      <color theme="1"/>
      <name val="ヒラギノ角ゴ ProN W3"/>
      <family val="3"/>
      <charset val="128"/>
    </font>
    <font>
      <sz val="14"/>
      <color indexed="8"/>
      <name val="ヒラギノ角ゴ ProN W3"/>
      <family val="3"/>
      <charset val="128"/>
    </font>
    <font>
      <sz val="10"/>
      <color rgb="FF000000"/>
      <name val="ヒラギノ角ゴ ProN W3"/>
      <family val="3"/>
      <charset val="128"/>
    </font>
    <font>
      <b/>
      <sz val="10"/>
      <color rgb="FF000000"/>
      <name val="ヒラギノ角ゴ ProN W3"/>
      <family val="3"/>
      <charset val="128"/>
    </font>
    <font>
      <sz val="10"/>
      <color rgb="FF000000"/>
      <name val="Calibri"/>
      <family val="2"/>
    </font>
    <font>
      <sz val="10"/>
      <color rgb="FF000000"/>
      <name val="Calibri"/>
      <family val="2"/>
    </font>
    <font>
      <sz val="10"/>
      <color indexed="8"/>
      <name val="ヒラギノ角ゴ ProN W3"/>
      <family val="3"/>
      <charset val="128"/>
    </font>
    <font>
      <b/>
      <sz val="13"/>
      <color theme="3"/>
      <name val="Yu Gothic"/>
      <charset val="128"/>
    </font>
    <font>
      <b/>
      <sz val="11"/>
      <color theme="3"/>
      <name val="Yu Gothic"/>
      <charset val="128"/>
    </font>
    <font>
      <sz val="11"/>
      <color theme="0"/>
      <name val="Meiryo UI"/>
      <family val="2"/>
    </font>
    <font>
      <sz val="11"/>
      <color theme="1"/>
      <name val="Meiryo UI"/>
      <family val="2"/>
    </font>
    <font>
      <sz val="9"/>
      <name val="Meiryo UI"/>
      <family val="2"/>
    </font>
    <font>
      <b/>
      <sz val="9"/>
      <color theme="0"/>
      <name val="Meiryo UI"/>
      <family val="2"/>
    </font>
    <font>
      <sz val="8"/>
      <color theme="0"/>
      <name val="Meiryo UI"/>
      <family val="2"/>
    </font>
    <font>
      <sz val="11"/>
      <color theme="0"/>
      <name val="Meiryo UI"/>
      <family val="3"/>
      <charset val="128"/>
    </font>
    <font>
      <sz val="11"/>
      <color theme="1"/>
      <name val="Meiryo UI"/>
      <family val="3"/>
      <charset val="128"/>
    </font>
    <font>
      <sz val="11"/>
      <name val="Meiryo UI"/>
      <family val="3"/>
      <charset val="128"/>
    </font>
    <font>
      <sz val="11"/>
      <name val="Meiryo UI"/>
      <family val="2"/>
    </font>
    <font>
      <i/>
      <sz val="9"/>
      <color theme="1"/>
      <name val="Meiryo UI"/>
      <family val="2"/>
    </font>
    <font>
      <sz val="10"/>
      <color theme="1" tint="0.499984740745262"/>
      <name val="Meiryo UI"/>
      <family val="2"/>
    </font>
    <font>
      <sz val="8"/>
      <color indexed="8"/>
      <name val="ヒラギノ角ゴ ProN W3"/>
      <family val="3"/>
      <charset val="128"/>
    </font>
    <font>
      <sz val="10"/>
      <color theme="4"/>
      <name val="ヒラギノ角ゴ ProN W3"/>
      <family val="3"/>
      <charset val="128"/>
    </font>
    <font>
      <b/>
      <sz val="10"/>
      <color rgb="FF1F1F1F"/>
      <name val="Google Sans Text"/>
      <family val="2"/>
      <charset val="1"/>
    </font>
    <font>
      <sz val="10"/>
      <color rgb="FF1F1F1F"/>
      <name val="Google Sans Text"/>
      <family val="2"/>
      <charset val="1"/>
    </font>
    <font>
      <sz val="6"/>
      <name val="ＭＳ Ｐゴシック"/>
      <family val="3"/>
      <charset val="128"/>
    </font>
    <font>
      <sz val="10"/>
      <color rgb="FF000000"/>
      <name val="ＭＳ ゴシック"/>
      <family val="3"/>
      <charset val="128"/>
    </font>
  </fonts>
  <fills count="20">
    <fill>
      <patternFill patternType="none"/>
    </fill>
    <fill>
      <patternFill patternType="gray125"/>
    </fill>
    <fill>
      <patternFill patternType="solid">
        <fgColor indexed="14"/>
        <bgColor auto="1"/>
      </patternFill>
    </fill>
    <fill>
      <patternFill patternType="solid">
        <fgColor theme="4" tint="0.59999389629810485"/>
        <bgColor indexed="64"/>
      </patternFill>
    </fill>
    <fill>
      <patternFill patternType="solid">
        <fgColor rgb="FFFFFF00"/>
        <bgColor indexed="64"/>
      </patternFill>
    </fill>
    <fill>
      <patternFill patternType="solid">
        <fgColor theme="4" tint="0.79998168889431442"/>
        <bgColor indexed="64"/>
      </patternFill>
    </fill>
    <fill>
      <patternFill patternType="solid">
        <fgColor theme="6" tint="0.59999389629810485"/>
        <bgColor indexed="64"/>
      </patternFill>
    </fill>
    <fill>
      <patternFill patternType="solid">
        <fgColor theme="9" tint="0.39997558519241921"/>
        <bgColor indexed="64"/>
      </patternFill>
    </fill>
    <fill>
      <patternFill patternType="solid">
        <fgColor theme="0"/>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7" tint="0.39997558519241921"/>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theme="1" tint="0.34998626667073579"/>
        <bgColor theme="4"/>
      </patternFill>
    </fill>
    <fill>
      <patternFill patternType="solid">
        <fgColor theme="1" tint="0.34998626667073579"/>
        <bgColor indexed="64"/>
      </patternFill>
    </fill>
    <fill>
      <patternFill patternType="solid">
        <fgColor rgb="FF00B0F0"/>
        <bgColor indexed="64"/>
      </patternFill>
    </fill>
    <fill>
      <patternFill patternType="solid">
        <fgColor theme="0" tint="-4.9989318521683403E-2"/>
        <bgColor indexed="64"/>
      </patternFill>
    </fill>
    <fill>
      <patternFill patternType="solid">
        <fgColor theme="2" tint="-9.9978637043366805E-2"/>
        <bgColor indexed="64"/>
      </patternFill>
    </fill>
    <fill>
      <patternFill patternType="solid">
        <fgColor theme="3"/>
        <bgColor indexed="64"/>
      </patternFill>
    </fill>
  </fills>
  <borders count="41">
    <border>
      <left/>
      <right/>
      <top/>
      <bottom/>
      <diagonal/>
    </border>
    <border>
      <left style="thin">
        <color indexed="10"/>
      </left>
      <right style="thin">
        <color indexed="11"/>
      </right>
      <top style="thin">
        <color indexed="10"/>
      </top>
      <bottom style="thin">
        <color indexed="12"/>
      </bottom>
      <diagonal/>
    </border>
    <border>
      <left style="thin">
        <color indexed="11"/>
      </left>
      <right style="thin">
        <color indexed="11"/>
      </right>
      <top style="thin">
        <color indexed="10"/>
      </top>
      <bottom style="thin">
        <color indexed="12"/>
      </bottom>
      <diagonal/>
    </border>
    <border>
      <left style="thin">
        <color indexed="11"/>
      </left>
      <right style="thin">
        <color indexed="10"/>
      </right>
      <top style="thin">
        <color indexed="10"/>
      </top>
      <bottom style="thin">
        <color indexed="12"/>
      </bottom>
      <diagonal/>
    </border>
    <border>
      <left style="thin">
        <color indexed="10"/>
      </left>
      <right style="thin">
        <color indexed="13"/>
      </right>
      <top style="thin">
        <color indexed="12"/>
      </top>
      <bottom style="thin">
        <color indexed="13"/>
      </bottom>
      <diagonal/>
    </border>
    <border>
      <left style="thin">
        <color indexed="13"/>
      </left>
      <right style="thin">
        <color indexed="13"/>
      </right>
      <top style="thin">
        <color indexed="12"/>
      </top>
      <bottom style="thin">
        <color indexed="13"/>
      </bottom>
      <diagonal/>
    </border>
    <border>
      <left style="thin">
        <color indexed="13"/>
      </left>
      <right style="thin">
        <color indexed="10"/>
      </right>
      <top style="thin">
        <color indexed="12"/>
      </top>
      <bottom style="thin">
        <color indexed="13"/>
      </bottom>
      <diagonal/>
    </border>
    <border>
      <left style="thin">
        <color indexed="10"/>
      </left>
      <right style="thin">
        <color indexed="13"/>
      </right>
      <top style="thin">
        <color indexed="13"/>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style="thin">
        <color indexed="10"/>
      </right>
      <top style="thin">
        <color indexed="13"/>
      </top>
      <bottom style="thin">
        <color indexed="13"/>
      </bottom>
      <diagonal/>
    </border>
    <border>
      <left style="thin">
        <color indexed="10"/>
      </left>
      <right style="thin">
        <color indexed="13"/>
      </right>
      <top style="thin">
        <color indexed="13"/>
      </top>
      <bottom style="thin">
        <color indexed="10"/>
      </bottom>
      <diagonal/>
    </border>
    <border>
      <left style="thin">
        <color indexed="13"/>
      </left>
      <right style="thin">
        <color indexed="13"/>
      </right>
      <top style="thin">
        <color indexed="13"/>
      </top>
      <bottom style="thin">
        <color indexed="10"/>
      </bottom>
      <diagonal/>
    </border>
    <border>
      <left style="thin">
        <color indexed="13"/>
      </left>
      <right style="thin">
        <color indexed="10"/>
      </right>
      <top style="thin">
        <color indexed="13"/>
      </top>
      <bottom style="thin">
        <color indexed="1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bottom style="thick">
        <color theme="4" tint="0.499984740745262"/>
      </bottom>
      <diagonal/>
    </border>
    <border>
      <left/>
      <right/>
      <top/>
      <bottom style="medium">
        <color theme="4" tint="0.39997558519241921"/>
      </bottom>
      <diagonal/>
    </border>
    <border>
      <left/>
      <right style="thin">
        <color theme="0" tint="-0.34998626667073579"/>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style="thin">
        <color theme="0" tint="-0.34998626667073579"/>
      </left>
      <right/>
      <top/>
      <bottom/>
      <diagonal/>
    </border>
    <border>
      <left/>
      <right/>
      <top/>
      <bottom style="thin">
        <color theme="0" tint="-0.34998626667073579"/>
      </bottom>
      <diagonal/>
    </border>
    <border>
      <left/>
      <right/>
      <top style="thin">
        <color theme="0" tint="-0.34998626667073579"/>
      </top>
      <bottom/>
      <diagonal/>
    </border>
    <border>
      <left style="thin">
        <color theme="0" tint="-0.34998626667073579"/>
      </left>
      <right style="thin">
        <color theme="0" tint="-0.34998626667073579"/>
      </right>
      <top/>
      <bottom style="medium">
        <color theme="0" tint="-0.14996795556505021"/>
      </bottom>
      <diagonal/>
    </border>
    <border>
      <left style="thin">
        <color theme="0" tint="-0.34998626667073579"/>
      </left>
      <right/>
      <top/>
      <bottom style="medium">
        <color theme="0" tint="-0.14996795556505021"/>
      </bottom>
      <diagonal/>
    </border>
    <border>
      <left/>
      <right/>
      <top style="medium">
        <color theme="0" tint="-0.14996795556505021"/>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style="thin">
        <color rgb="FF1F1F1F"/>
      </left>
      <right style="thin">
        <color rgb="FF1F1F1F"/>
      </right>
      <top style="thin">
        <color rgb="FF1F1F1F"/>
      </top>
      <bottom style="thin">
        <color rgb="FF1F1F1F"/>
      </bottom>
      <diagonal/>
    </border>
  </borders>
  <cellStyleXfs count="9">
    <xf numFmtId="0" fontId="0" fillId="0" borderId="0" applyNumberFormat="0" applyFill="0" applyBorder="0" applyProtection="0">
      <alignment vertical="top" wrapText="1"/>
    </xf>
    <xf numFmtId="0" fontId="7" fillId="0" borderId="0" applyNumberFormat="0" applyFill="0" applyBorder="0" applyAlignment="0" applyProtection="0">
      <alignment vertical="top" wrapText="1"/>
    </xf>
    <xf numFmtId="9" fontId="17" fillId="0" borderId="0" applyFont="0" applyFill="0" applyBorder="0" applyAlignment="0" applyProtection="0"/>
    <xf numFmtId="0" fontId="18" fillId="0" borderId="28" applyNumberFormat="0" applyFill="0" applyAlignment="0" applyProtection="0"/>
    <xf numFmtId="0" fontId="19" fillId="0" borderId="29" applyNumberFormat="0" applyFill="0" applyAlignment="0" applyProtection="0"/>
    <xf numFmtId="0" fontId="20" fillId="0" borderId="0"/>
    <xf numFmtId="176" fontId="21" fillId="0" borderId="31">
      <alignment horizontal="center" vertical="center"/>
    </xf>
    <xf numFmtId="0" fontId="21" fillId="0" borderId="38" applyFill="0">
      <alignment horizontal="left" vertical="center" indent="2"/>
    </xf>
    <xf numFmtId="14" fontId="21" fillId="0" borderId="0" applyFont="0" applyFill="0" applyBorder="0">
      <alignment horizontal="center" vertical="center"/>
    </xf>
  </cellStyleXfs>
  <cellXfs count="188">
    <xf numFmtId="0" fontId="0" fillId="0" borderId="0" xfId="0">
      <alignment vertical="top" wrapText="1"/>
    </xf>
    <xf numFmtId="0" fontId="0" fillId="0" borderId="0" xfId="0" applyNumberFormat="1">
      <alignment vertical="top" wrapText="1"/>
    </xf>
    <xf numFmtId="0" fontId="0" fillId="0" borderId="5" xfId="0" applyBorder="1">
      <alignment vertical="top" wrapText="1"/>
    </xf>
    <xf numFmtId="0" fontId="0" fillId="2" borderId="8" xfId="0" applyFill="1" applyBorder="1">
      <alignment vertical="top" wrapText="1"/>
    </xf>
    <xf numFmtId="0" fontId="0" fillId="2" borderId="7" xfId="0" applyFill="1" applyBorder="1">
      <alignment vertical="top" wrapText="1"/>
    </xf>
    <xf numFmtId="49" fontId="0" fillId="0" borderId="4" xfId="0" applyNumberFormat="1" applyBorder="1" applyAlignment="1">
      <alignment vertical="top"/>
    </xf>
    <xf numFmtId="49" fontId="0" fillId="2" borderId="7" xfId="0" applyNumberFormat="1" applyFill="1" applyBorder="1" applyAlignment="1">
      <alignment vertical="top"/>
    </xf>
    <xf numFmtId="49" fontId="2" fillId="0" borderId="1" xfId="0" applyNumberFormat="1" applyFont="1" applyBorder="1" applyAlignment="1">
      <alignment vertical="top"/>
    </xf>
    <xf numFmtId="0" fontId="2" fillId="0" borderId="2" xfId="0" applyFont="1" applyBorder="1" applyAlignment="1">
      <alignment vertical="top"/>
    </xf>
    <xf numFmtId="0" fontId="2" fillId="0" borderId="3" xfId="0" applyFont="1" applyBorder="1" applyAlignment="1">
      <alignment vertical="top"/>
    </xf>
    <xf numFmtId="0" fontId="0" fillId="0" borderId="5" xfId="0" applyBorder="1" applyAlignment="1">
      <alignment vertical="top"/>
    </xf>
    <xf numFmtId="0" fontId="0" fillId="0" borderId="6" xfId="0" applyBorder="1" applyAlignment="1">
      <alignment vertical="top"/>
    </xf>
    <xf numFmtId="0" fontId="0" fillId="2" borderId="7" xfId="0" applyFill="1" applyBorder="1" applyAlignment="1">
      <alignment vertical="top"/>
    </xf>
    <xf numFmtId="0" fontId="0" fillId="2" borderId="8" xfId="0" applyFill="1" applyBorder="1" applyAlignment="1">
      <alignment vertical="top"/>
    </xf>
    <xf numFmtId="0" fontId="0" fillId="2" borderId="9" xfId="0" applyFill="1" applyBorder="1" applyAlignment="1">
      <alignment vertical="top"/>
    </xf>
    <xf numFmtId="49" fontId="0" fillId="0" borderId="7" xfId="0" applyNumberFormat="1" applyBorder="1" applyAlignment="1">
      <alignment vertical="top"/>
    </xf>
    <xf numFmtId="0" fontId="0" fillId="0" borderId="8" xfId="0" applyBorder="1" applyAlignment="1">
      <alignment vertical="top"/>
    </xf>
    <xf numFmtId="0" fontId="0" fillId="0" borderId="9" xfId="0" applyBorder="1" applyAlignment="1">
      <alignment vertical="top"/>
    </xf>
    <xf numFmtId="0" fontId="0" fillId="0" borderId="7" xfId="0" applyBorder="1" applyAlignment="1">
      <alignment vertical="top"/>
    </xf>
    <xf numFmtId="0" fontId="0" fillId="0" borderId="10" xfId="0" applyBorder="1" applyAlignment="1">
      <alignment vertical="top"/>
    </xf>
    <xf numFmtId="0" fontId="0" fillId="0" borderId="11" xfId="0" applyBorder="1" applyAlignment="1">
      <alignment vertical="top"/>
    </xf>
    <xf numFmtId="0" fontId="0" fillId="0" borderId="12" xfId="0" applyBorder="1" applyAlignment="1">
      <alignment vertical="top"/>
    </xf>
    <xf numFmtId="0" fontId="0" fillId="3" borderId="13" xfId="0" applyFill="1" applyBorder="1">
      <alignment vertical="top" wrapText="1"/>
    </xf>
    <xf numFmtId="0" fontId="0" fillId="0" borderId="13" xfId="0" applyBorder="1">
      <alignment vertical="top" wrapText="1"/>
    </xf>
    <xf numFmtId="0" fontId="0" fillId="0" borderId="15" xfId="0" applyBorder="1">
      <alignment vertical="top" wrapText="1"/>
    </xf>
    <xf numFmtId="0" fontId="0" fillId="5" borderId="13" xfId="0" applyFill="1" applyBorder="1">
      <alignment vertical="top" wrapText="1"/>
    </xf>
    <xf numFmtId="0" fontId="0" fillId="5" borderId="15" xfId="0" applyFill="1" applyBorder="1">
      <alignment vertical="top" wrapText="1"/>
    </xf>
    <xf numFmtId="0" fontId="0" fillId="0" borderId="13" xfId="0" applyBorder="1">
      <alignment vertical="top" wrapText="1"/>
      <extLst>
        <ext xmlns:xfpb="http://schemas.microsoft.com/office/spreadsheetml/2022/featurepropertybag" uri="{C7286773-470A-42A8-94C5-96B5CB345126}">
          <xfpb:xfComplement i="0"/>
        </ext>
      </extLst>
    </xf>
    <xf numFmtId="0" fontId="0" fillId="0" borderId="14" xfId="0" applyBorder="1">
      <alignment vertical="top" wrapText="1"/>
      <extLst>
        <ext xmlns:xfpb="http://schemas.microsoft.com/office/spreadsheetml/2022/featurepropertybag" uri="{C7286773-470A-42A8-94C5-96B5CB345126}">
          <xfpb:xfComplement i="0"/>
        </ext>
      </extLst>
    </xf>
    <xf numFmtId="0" fontId="5" fillId="0" borderId="0" xfId="0" applyFont="1" applyBorder="1" applyAlignment="1">
      <alignment vertical="top"/>
    </xf>
    <xf numFmtId="0" fontId="0" fillId="0" borderId="0" xfId="0" applyAlignment="1">
      <alignment vertical="top"/>
    </xf>
    <xf numFmtId="0" fontId="0" fillId="0" borderId="13" xfId="0" applyBorder="1" applyAlignment="1">
      <alignment vertical="top"/>
    </xf>
    <xf numFmtId="0" fontId="0" fillId="0" borderId="14" xfId="0" applyBorder="1" applyAlignment="1">
      <alignment vertical="top"/>
    </xf>
    <xf numFmtId="0" fontId="0" fillId="4" borderId="13" xfId="0" applyFill="1" applyBorder="1" applyAlignment="1">
      <alignment vertical="top"/>
    </xf>
    <xf numFmtId="0" fontId="0" fillId="0" borderId="0" xfId="0" applyBorder="1" applyAlignment="1">
      <alignment vertical="top"/>
    </xf>
    <xf numFmtId="0" fontId="0" fillId="0" borderId="15" xfId="0" applyBorder="1" applyAlignment="1">
      <alignment vertical="top"/>
    </xf>
    <xf numFmtId="0" fontId="0" fillId="4" borderId="17" xfId="0" applyFill="1" applyBorder="1" applyAlignment="1">
      <alignment vertical="top"/>
    </xf>
    <xf numFmtId="0" fontId="0" fillId="0" borderId="18" xfId="0" applyBorder="1" applyAlignment="1">
      <alignment vertical="top"/>
    </xf>
    <xf numFmtId="0" fontId="0" fillId="4" borderId="15" xfId="0" applyFill="1" applyBorder="1" applyAlignment="1">
      <alignment vertical="top"/>
    </xf>
    <xf numFmtId="14" fontId="0" fillId="0" borderId="13" xfId="0" applyNumberFormat="1" applyBorder="1">
      <alignment vertical="top" wrapText="1"/>
    </xf>
    <xf numFmtId="0" fontId="4" fillId="7" borderId="16" xfId="0" applyFont="1" applyFill="1" applyBorder="1" applyAlignment="1">
      <alignment horizontal="left" vertical="top"/>
    </xf>
    <xf numFmtId="0" fontId="4" fillId="7" borderId="20" xfId="0" applyFont="1" applyFill="1" applyBorder="1" applyAlignment="1">
      <alignment vertical="top"/>
    </xf>
    <xf numFmtId="0" fontId="4" fillId="7" borderId="16" xfId="0" applyFont="1" applyFill="1" applyBorder="1" applyAlignment="1">
      <alignment vertical="top"/>
    </xf>
    <xf numFmtId="0" fontId="0" fillId="0" borderId="14" xfId="0" applyBorder="1">
      <alignment vertical="top" wrapText="1"/>
    </xf>
    <xf numFmtId="0" fontId="0" fillId="0" borderId="16" xfId="0" applyBorder="1">
      <alignment vertical="top" wrapText="1"/>
    </xf>
    <xf numFmtId="0" fontId="0" fillId="8" borderId="13" xfId="0" applyFill="1" applyBorder="1">
      <alignment vertical="top" wrapText="1"/>
    </xf>
    <xf numFmtId="0" fontId="0" fillId="10" borderId="13" xfId="0" applyFill="1" applyBorder="1" applyAlignment="1">
      <alignment vertical="top"/>
    </xf>
    <xf numFmtId="0" fontId="0" fillId="10" borderId="13" xfId="0" applyFill="1" applyBorder="1">
      <alignment vertical="top" wrapText="1"/>
    </xf>
    <xf numFmtId="56" fontId="0" fillId="0" borderId="13" xfId="0" applyNumberFormat="1" applyBorder="1" applyAlignment="1">
      <alignment vertical="top"/>
    </xf>
    <xf numFmtId="0" fontId="6" fillId="0" borderId="0" xfId="0" applyFont="1">
      <alignment vertical="top" wrapText="1"/>
    </xf>
    <xf numFmtId="0" fontId="0" fillId="0" borderId="13" xfId="0" applyBorder="1" applyAlignment="1">
      <alignment horizontal="center" vertical="top" wrapText="1"/>
    </xf>
    <xf numFmtId="0" fontId="0" fillId="0" borderId="0" xfId="0" applyAlignment="1">
      <alignment horizontal="center" vertical="top" wrapText="1"/>
    </xf>
    <xf numFmtId="0" fontId="0" fillId="3" borderId="13" xfId="0" applyFill="1" applyBorder="1" applyAlignment="1">
      <alignment horizontal="center" vertical="top" wrapText="1"/>
    </xf>
    <xf numFmtId="0" fontId="0" fillId="5" borderId="13" xfId="0" applyFill="1" applyBorder="1" applyAlignment="1">
      <alignment horizontal="left" vertical="top" wrapText="1"/>
    </xf>
    <xf numFmtId="0" fontId="0" fillId="5" borderId="15" xfId="0" applyFill="1" applyBorder="1" applyAlignment="1">
      <alignment horizontal="left" vertical="top" wrapText="1"/>
    </xf>
    <xf numFmtId="0" fontId="0" fillId="0" borderId="0" xfId="0" applyAlignment="1">
      <alignment horizontal="left" vertical="top" wrapText="1"/>
    </xf>
    <xf numFmtId="0" fontId="0" fillId="8" borderId="0" xfId="0" applyFill="1" applyBorder="1" applyAlignment="1">
      <alignment vertical="top"/>
    </xf>
    <xf numFmtId="49" fontId="1" fillId="2" borderId="13" xfId="0" applyNumberFormat="1" applyFont="1" applyFill="1" applyBorder="1">
      <alignment vertical="top" wrapText="1"/>
    </xf>
    <xf numFmtId="49" fontId="1" fillId="0" borderId="13" xfId="0" applyNumberFormat="1" applyFont="1" applyBorder="1">
      <alignment vertical="top" wrapText="1"/>
    </xf>
    <xf numFmtId="0" fontId="1" fillId="2" borderId="13" xfId="0" applyFont="1" applyFill="1" applyBorder="1">
      <alignment vertical="top" wrapText="1"/>
    </xf>
    <xf numFmtId="0" fontId="8" fillId="8" borderId="0" xfId="0" applyFont="1" applyFill="1">
      <alignment vertical="top" wrapText="1"/>
    </xf>
    <xf numFmtId="0" fontId="7" fillId="0" borderId="0" xfId="1">
      <alignment vertical="top" wrapText="1"/>
    </xf>
    <xf numFmtId="0" fontId="4" fillId="6" borderId="13" xfId="0" applyFont="1" applyFill="1" applyBorder="1" applyAlignment="1">
      <alignment horizontal="left" vertical="center"/>
    </xf>
    <xf numFmtId="0" fontId="4" fillId="6" borderId="15" xfId="0" applyFont="1" applyFill="1" applyBorder="1" applyAlignment="1">
      <alignment vertical="center"/>
    </xf>
    <xf numFmtId="0" fontId="4" fillId="6" borderId="13" xfId="0" applyFont="1" applyFill="1" applyBorder="1" applyAlignment="1">
      <alignment vertical="center"/>
    </xf>
    <xf numFmtId="0" fontId="5" fillId="0" borderId="0" xfId="0" applyFont="1" applyBorder="1" applyAlignment="1">
      <alignment vertical="center"/>
    </xf>
    <xf numFmtId="0" fontId="0" fillId="0" borderId="0" xfId="0" applyAlignment="1">
      <alignment vertical="center" wrapText="1"/>
    </xf>
    <xf numFmtId="0" fontId="1" fillId="0" borderId="13" xfId="0" applyFont="1" applyBorder="1">
      <alignment vertical="top" wrapText="1"/>
    </xf>
    <xf numFmtId="0" fontId="0" fillId="0" borderId="13" xfId="0" applyBorder="1" applyAlignment="1">
      <alignment horizontal="center" vertical="center" wrapText="1"/>
    </xf>
    <xf numFmtId="0" fontId="0" fillId="0" borderId="0" xfId="0" applyAlignment="1">
      <alignment horizontal="center" vertical="center" wrapText="1"/>
    </xf>
    <xf numFmtId="0" fontId="0" fillId="0" borderId="0" xfId="0" applyBorder="1" applyAlignment="1">
      <alignment horizontal="left" vertical="center" wrapText="1"/>
    </xf>
    <xf numFmtId="0" fontId="0" fillId="0" borderId="0" xfId="0" applyBorder="1" applyAlignment="1">
      <alignment horizontal="center" vertical="center" wrapText="1"/>
    </xf>
    <xf numFmtId="0" fontId="0" fillId="0" borderId="24" xfId="0" applyBorder="1" applyAlignment="1">
      <alignment horizontal="left" vertical="top" wrapText="1"/>
    </xf>
    <xf numFmtId="0" fontId="0" fillId="0" borderId="26" xfId="0" applyBorder="1" applyAlignment="1">
      <alignment horizontal="left" vertical="top" wrapText="1"/>
    </xf>
    <xf numFmtId="0" fontId="0" fillId="0" borderId="25" xfId="0" applyBorder="1" applyAlignment="1">
      <alignment horizontal="left" vertical="top" wrapText="1"/>
    </xf>
    <xf numFmtId="0" fontId="0" fillId="0" borderId="27" xfId="0" applyBorder="1" applyAlignment="1">
      <alignment horizontal="left" vertical="top" wrapText="1"/>
    </xf>
    <xf numFmtId="0" fontId="0" fillId="0" borderId="0" xfId="0" applyBorder="1" applyAlignment="1">
      <alignment horizontal="center" vertical="top" wrapText="1"/>
    </xf>
    <xf numFmtId="0" fontId="0" fillId="0" borderId="0" xfId="0" applyBorder="1" applyAlignment="1">
      <alignment horizontal="left" vertical="top" wrapText="1"/>
    </xf>
    <xf numFmtId="0" fontId="13" fillId="0" borderId="13" xfId="0" applyFont="1" applyBorder="1">
      <alignment vertical="top" wrapText="1"/>
    </xf>
    <xf numFmtId="0" fontId="0" fillId="3" borderId="13" xfId="0" applyFill="1" applyBorder="1" applyAlignment="1">
      <alignment horizontal="center" vertical="center" wrapText="1"/>
    </xf>
    <xf numFmtId="0" fontId="0" fillId="5" borderId="13" xfId="0" applyFill="1" applyBorder="1" applyAlignment="1">
      <alignment horizontal="left" vertical="center" wrapText="1"/>
    </xf>
    <xf numFmtId="0" fontId="15" fillId="0" borderId="13" xfId="0" applyFont="1" applyBorder="1" applyAlignment="1">
      <alignment vertical="top"/>
    </xf>
    <xf numFmtId="0" fontId="15" fillId="0" borderId="13" xfId="0" applyFont="1" applyBorder="1" applyAlignment="1">
      <alignment horizontal="left" vertical="top"/>
    </xf>
    <xf numFmtId="0" fontId="15" fillId="0" borderId="13" xfId="0" applyFont="1" applyBorder="1" applyAlignment="1">
      <alignment horizontal="left" vertical="top" wrapText="1"/>
    </xf>
    <xf numFmtId="0" fontId="15" fillId="0" borderId="15" xfId="0" applyFont="1" applyBorder="1" applyAlignment="1">
      <alignment vertical="top"/>
    </xf>
    <xf numFmtId="0" fontId="15" fillId="0" borderId="18" xfId="0" applyFont="1" applyBorder="1">
      <alignment vertical="top" wrapText="1"/>
    </xf>
    <xf numFmtId="0" fontId="0" fillId="0" borderId="13" xfId="0" applyBorder="1" applyAlignment="1">
      <alignment horizontal="left" vertical="top" wrapText="1"/>
    </xf>
    <xf numFmtId="0" fontId="0" fillId="0" borderId="16" xfId="0" applyBorder="1" applyAlignment="1">
      <alignment horizontal="center" vertical="top" wrapText="1"/>
    </xf>
    <xf numFmtId="0" fontId="20" fillId="0" borderId="0" xfId="5"/>
    <xf numFmtId="0" fontId="18" fillId="0" borderId="28" xfId="3" applyAlignment="1">
      <alignment vertical="center"/>
    </xf>
    <xf numFmtId="0" fontId="19" fillId="0" borderId="30" xfId="4" applyBorder="1" applyAlignment="1">
      <alignment horizontal="right" indent="1"/>
    </xf>
    <xf numFmtId="0" fontId="0" fillId="0" borderId="0" xfId="0" applyAlignment="1"/>
    <xf numFmtId="0" fontId="20" fillId="0" borderId="0" xfId="5" applyAlignment="1">
      <alignment wrapText="1"/>
    </xf>
    <xf numFmtId="0" fontId="0" fillId="0" borderId="31" xfId="0" applyBorder="1" applyAlignment="1">
      <alignment horizontal="center" vertical="center"/>
    </xf>
    <xf numFmtId="0" fontId="0" fillId="0" borderId="34" xfId="0" applyBorder="1" applyAlignment="1"/>
    <xf numFmtId="178" fontId="22" fillId="13" borderId="33" xfId="0" applyNumberFormat="1" applyFont="1" applyFill="1" applyBorder="1" applyAlignment="1">
      <alignment horizontal="center" vertical="center"/>
    </xf>
    <xf numFmtId="178" fontId="22" fillId="13" borderId="0" xfId="0" applyNumberFormat="1" applyFont="1" applyFill="1" applyAlignment="1">
      <alignment horizontal="center" vertical="center"/>
    </xf>
    <xf numFmtId="178" fontId="22" fillId="13" borderId="30" xfId="0" applyNumberFormat="1" applyFont="1" applyFill="1" applyBorder="1" applyAlignment="1">
      <alignment horizontal="center" vertical="center"/>
    </xf>
    <xf numFmtId="0" fontId="23" fillId="14" borderId="35" xfId="0" applyFont="1" applyFill="1" applyBorder="1" applyAlignment="1">
      <alignment horizontal="left" vertical="center" indent="1"/>
    </xf>
    <xf numFmtId="0" fontId="23" fillId="14" borderId="35" xfId="0" applyFont="1" applyFill="1" applyBorder="1" applyAlignment="1">
      <alignment horizontal="center" vertical="center" wrapText="1"/>
    </xf>
    <xf numFmtId="0" fontId="24" fillId="15" borderId="36" xfId="0" applyFont="1" applyFill="1" applyBorder="1" applyAlignment="1">
      <alignment horizontal="center" vertical="center" shrinkToFit="1"/>
    </xf>
    <xf numFmtId="0" fontId="24" fillId="15" borderId="37" xfId="0" applyFont="1" applyFill="1" applyBorder="1" applyAlignment="1">
      <alignment horizontal="center" vertical="center" shrinkToFit="1"/>
    </xf>
    <xf numFmtId="0" fontId="24" fillId="15" borderId="0" xfId="0" applyFont="1" applyFill="1" applyAlignment="1">
      <alignment horizontal="center" vertical="center" shrinkToFit="1"/>
    </xf>
    <xf numFmtId="0" fontId="25" fillId="0" borderId="0" xfId="5" applyFont="1" applyAlignment="1">
      <alignment wrapText="1"/>
    </xf>
    <xf numFmtId="0" fontId="26" fillId="5" borderId="38" xfId="7" applyFont="1" applyFill="1">
      <alignment horizontal="left" vertical="center" indent="2"/>
    </xf>
    <xf numFmtId="9" fontId="27" fillId="5" borderId="38" xfId="2" applyFont="1" applyFill="1" applyBorder="1" applyAlignment="1">
      <alignment horizontal="center" vertical="center"/>
    </xf>
    <xf numFmtId="14" fontId="26" fillId="5" borderId="0" xfId="8" applyFont="1" applyFill="1">
      <alignment horizontal="center" vertical="center"/>
    </xf>
    <xf numFmtId="0" fontId="27" fillId="0" borderId="38" xfId="0" applyFont="1" applyBorder="1" applyAlignment="1">
      <alignment horizontal="center" vertical="center"/>
    </xf>
    <xf numFmtId="0" fontId="0" fillId="0" borderId="39" xfId="0" applyBorder="1" applyAlignment="1">
      <alignment vertical="center"/>
    </xf>
    <xf numFmtId="0" fontId="0" fillId="16" borderId="39" xfId="0" applyFill="1" applyBorder="1" applyAlignment="1">
      <alignment vertical="center"/>
    </xf>
    <xf numFmtId="0" fontId="0" fillId="0" borderId="0" xfId="0" applyAlignment="1">
      <alignment vertical="center"/>
    </xf>
    <xf numFmtId="0" fontId="21" fillId="5" borderId="38" xfId="7" applyFill="1">
      <alignment horizontal="left" vertical="center" indent="2"/>
    </xf>
    <xf numFmtId="9" fontId="28" fillId="5" borderId="38" xfId="2" applyFont="1" applyFill="1" applyBorder="1" applyAlignment="1">
      <alignment horizontal="center" vertical="center"/>
    </xf>
    <xf numFmtId="14" fontId="21" fillId="5" borderId="0" xfId="8" applyFill="1">
      <alignment horizontal="center" vertical="center"/>
    </xf>
    <xf numFmtId="0" fontId="28" fillId="0" borderId="38" xfId="0" applyFont="1" applyBorder="1" applyAlignment="1">
      <alignment horizontal="center" vertical="center"/>
    </xf>
    <xf numFmtId="0" fontId="0" fillId="0" borderId="39" xfId="0" applyBorder="1" applyAlignment="1">
      <alignment horizontal="right" vertical="center"/>
    </xf>
    <xf numFmtId="0" fontId="29" fillId="17" borderId="38" xfId="0" applyFont="1" applyFill="1" applyBorder="1" applyAlignment="1">
      <alignment horizontal="left" vertical="center" indent="1"/>
    </xf>
    <xf numFmtId="9" fontId="28" fillId="17" borderId="38" xfId="2" applyFont="1" applyFill="1" applyBorder="1" applyAlignment="1">
      <alignment horizontal="center" vertical="center"/>
    </xf>
    <xf numFmtId="179" fontId="30" fillId="17" borderId="38" xfId="0" applyNumberFormat="1" applyFont="1" applyFill="1" applyBorder="1" applyAlignment="1">
      <alignment horizontal="left" vertical="center"/>
    </xf>
    <xf numFmtId="179" fontId="28" fillId="17" borderId="38" xfId="0" applyNumberFormat="1" applyFont="1" applyFill="1" applyBorder="1" applyAlignment="1">
      <alignment horizontal="center" vertical="center"/>
    </xf>
    <xf numFmtId="0" fontId="28" fillId="17" borderId="38" xfId="0" applyFont="1" applyFill="1" applyBorder="1" applyAlignment="1">
      <alignment horizontal="center" vertical="center"/>
    </xf>
    <xf numFmtId="0" fontId="0" fillId="17" borderId="39" xfId="0" applyFill="1" applyBorder="1" applyAlignment="1">
      <alignment vertical="center"/>
    </xf>
    <xf numFmtId="0" fontId="0" fillId="0" borderId="0" xfId="0" applyAlignment="1">
      <alignment horizontal="center"/>
    </xf>
    <xf numFmtId="0" fontId="0" fillId="0" borderId="0" xfId="0" applyAlignment="1">
      <alignment horizontal="right" vertical="center"/>
    </xf>
    <xf numFmtId="0" fontId="20" fillId="0" borderId="0" xfId="0" applyFont="1" applyAlignment="1">
      <alignment horizontal="center"/>
    </xf>
    <xf numFmtId="0" fontId="0" fillId="18" borderId="39" xfId="0" applyFill="1" applyBorder="1" applyAlignment="1">
      <alignment vertical="center"/>
    </xf>
    <xf numFmtId="14" fontId="0" fillId="13" borderId="32" xfId="0" applyNumberFormat="1" applyFill="1" applyBorder="1" applyAlignment="1">
      <alignment horizontal="center" vertical="center" wrapText="1" indent="1"/>
    </xf>
    <xf numFmtId="14" fontId="0" fillId="0" borderId="0" xfId="0" applyNumberFormat="1" applyAlignment="1">
      <alignment vertical="center" wrapText="1" indent="1"/>
    </xf>
    <xf numFmtId="0" fontId="0" fillId="0" borderId="0" xfId="0" applyBorder="1">
      <alignment vertical="top" wrapText="1"/>
    </xf>
    <xf numFmtId="0" fontId="0" fillId="0" borderId="18" xfId="0" applyBorder="1">
      <alignment vertical="top" wrapText="1"/>
    </xf>
    <xf numFmtId="0" fontId="32" fillId="16" borderId="39" xfId="0" applyFont="1" applyFill="1" applyBorder="1" applyAlignment="1">
      <alignment vertical="center"/>
    </xf>
    <xf numFmtId="0" fontId="0" fillId="0" borderId="18" xfId="0" applyBorder="1" applyAlignment="1">
      <alignment horizontal="center" vertical="top" wrapText="1"/>
    </xf>
    <xf numFmtId="0" fontId="33" fillId="0" borderId="40" xfId="0" applyFont="1" applyBorder="1" applyAlignment="1">
      <alignment vertical="top" wrapText="1" readingOrder="1"/>
    </xf>
    <xf numFmtId="0" fontId="34" fillId="0" borderId="40" xfId="0" applyFont="1" applyBorder="1" applyAlignment="1">
      <alignment vertical="top" wrapText="1" readingOrder="1"/>
    </xf>
    <xf numFmtId="14" fontId="34" fillId="0" borderId="40" xfId="0" applyNumberFormat="1" applyFont="1" applyBorder="1" applyAlignment="1">
      <alignment vertical="top" wrapText="1" readingOrder="1"/>
    </xf>
    <xf numFmtId="0" fontId="15" fillId="0" borderId="15" xfId="0" applyFont="1" applyFill="1" applyBorder="1" applyAlignment="1">
      <alignment vertical="top"/>
    </xf>
    <xf numFmtId="14" fontId="0" fillId="0" borderId="16" xfId="0" applyNumberFormat="1" applyBorder="1">
      <alignment vertical="top" wrapText="1"/>
    </xf>
    <xf numFmtId="0" fontId="4" fillId="7" borderId="0" xfId="0" applyFont="1" applyFill="1" applyBorder="1" applyAlignment="1">
      <alignment vertical="top"/>
    </xf>
    <xf numFmtId="0" fontId="0" fillId="0" borderId="0" xfId="0" applyFill="1" applyBorder="1">
      <alignment vertical="top" wrapText="1"/>
    </xf>
    <xf numFmtId="14" fontId="0" fillId="0" borderId="0" xfId="0" applyNumberFormat="1" applyFill="1" applyBorder="1">
      <alignment vertical="top" wrapText="1"/>
    </xf>
    <xf numFmtId="0" fontId="0" fillId="0" borderId="13" xfId="0" applyFill="1" applyBorder="1">
      <alignment vertical="top" wrapText="1"/>
    </xf>
    <xf numFmtId="14" fontId="0" fillId="0" borderId="13" xfId="0" applyNumberFormat="1" applyFill="1" applyBorder="1">
      <alignment vertical="top" wrapText="1"/>
    </xf>
    <xf numFmtId="0" fontId="0" fillId="0" borderId="0" xfId="0" applyFill="1">
      <alignment vertical="top" wrapText="1"/>
    </xf>
    <xf numFmtId="0" fontId="15" fillId="19" borderId="13" xfId="0" applyFont="1" applyFill="1" applyBorder="1" applyAlignment="1">
      <alignment horizontal="left" vertical="top"/>
    </xf>
    <xf numFmtId="0" fontId="15" fillId="19" borderId="13" xfId="0" applyFont="1" applyFill="1" applyBorder="1" applyAlignment="1">
      <alignment horizontal="left" vertical="top" wrapText="1"/>
    </xf>
    <xf numFmtId="0" fontId="16" fillId="0" borderId="13" xfId="0" applyFont="1" applyFill="1" applyBorder="1" applyAlignment="1">
      <alignment horizontal="left" vertical="top" wrapText="1"/>
    </xf>
    <xf numFmtId="0" fontId="15" fillId="0" borderId="13" xfId="0" applyFont="1" applyFill="1" applyBorder="1" applyAlignment="1">
      <alignment horizontal="left" vertical="top" wrapText="1"/>
    </xf>
    <xf numFmtId="0" fontId="0" fillId="0" borderId="0" xfId="0" applyAlignment="1">
      <alignment horizontal="center" vertical="top" wrapText="1"/>
    </xf>
    <xf numFmtId="0" fontId="0" fillId="3" borderId="13" xfId="0" applyFill="1" applyBorder="1" applyAlignment="1">
      <alignment horizontal="center" vertical="top" wrapText="1"/>
    </xf>
    <xf numFmtId="0" fontId="31" fillId="0" borderId="0" xfId="0" applyFont="1" applyBorder="1" applyAlignment="1">
      <alignment horizontal="left" vertical="top" wrapText="1"/>
    </xf>
    <xf numFmtId="0" fontId="31" fillId="0" borderId="34" xfId="0" applyFont="1" applyBorder="1" applyAlignment="1">
      <alignment horizontal="left" vertical="top" wrapText="1"/>
    </xf>
    <xf numFmtId="14" fontId="0" fillId="13" borderId="32" xfId="0" applyNumberFormat="1" applyFill="1" applyBorder="1" applyAlignment="1">
      <alignment horizontal="left" vertical="center" wrapText="1" indent="1"/>
    </xf>
    <xf numFmtId="177" fontId="21" fillId="0" borderId="31" xfId="6" applyNumberFormat="1" applyAlignment="1">
      <alignment horizontal="center" vertical="center"/>
    </xf>
    <xf numFmtId="0" fontId="8" fillId="10" borderId="21" xfId="0" applyFont="1" applyFill="1" applyBorder="1" applyAlignment="1">
      <alignment horizontal="center" vertical="center" wrapText="1"/>
    </xf>
    <xf numFmtId="0" fontId="8" fillId="10" borderId="20" xfId="0" applyFont="1" applyFill="1" applyBorder="1" applyAlignment="1">
      <alignment horizontal="center" vertical="center" wrapText="1"/>
    </xf>
    <xf numFmtId="0" fontId="8" fillId="11" borderId="16" xfId="0" applyFont="1" applyFill="1" applyBorder="1" applyAlignment="1">
      <alignment horizontal="center" vertical="center" wrapText="1"/>
    </xf>
    <xf numFmtId="0" fontId="11" fillId="12" borderId="21" xfId="0" applyFont="1" applyFill="1" applyBorder="1" applyAlignment="1">
      <alignment horizontal="center" vertical="top" wrapText="1"/>
    </xf>
    <xf numFmtId="0" fontId="11" fillId="12" borderId="20" xfId="0" applyFont="1" applyFill="1" applyBorder="1" applyAlignment="1">
      <alignment horizontal="center" vertical="top" wrapText="1"/>
    </xf>
    <xf numFmtId="0" fontId="9" fillId="9" borderId="13" xfId="0" applyFont="1" applyFill="1" applyBorder="1" applyAlignment="1">
      <alignment horizontal="center" vertical="top" wrapText="1"/>
    </xf>
    <xf numFmtId="0" fontId="9" fillId="9" borderId="14" xfId="0" applyFont="1" applyFill="1" applyBorder="1" applyAlignment="1">
      <alignment horizontal="center" vertical="top" wrapText="1"/>
    </xf>
    <xf numFmtId="0" fontId="12" fillId="0" borderId="13" xfId="0" applyFont="1" applyBorder="1" applyAlignment="1">
      <alignment horizontal="center" vertical="top" wrapText="1"/>
    </xf>
    <xf numFmtId="0" fontId="15" fillId="0" borderId="16" xfId="0" applyFont="1" applyBorder="1" applyAlignment="1">
      <alignment horizontal="left" vertical="top"/>
    </xf>
    <xf numFmtId="0" fontId="15" fillId="0" borderId="19" xfId="0" applyFont="1" applyBorder="1" applyAlignment="1">
      <alignment horizontal="left" vertical="top"/>
    </xf>
    <xf numFmtId="0" fontId="15" fillId="0" borderId="18" xfId="0" applyFont="1" applyBorder="1" applyAlignment="1">
      <alignment horizontal="left" vertical="top"/>
    </xf>
    <xf numFmtId="0" fontId="15" fillId="0" borderId="16" xfId="0" applyFont="1" applyBorder="1" applyAlignment="1">
      <alignment vertical="top"/>
    </xf>
    <xf numFmtId="0" fontId="15" fillId="0" borderId="19" xfId="0" applyFont="1" applyBorder="1" applyAlignment="1">
      <alignment vertical="top"/>
    </xf>
    <xf numFmtId="0" fontId="15" fillId="0" borderId="18" xfId="0" applyFont="1" applyBorder="1" applyAlignment="1">
      <alignment vertical="top"/>
    </xf>
    <xf numFmtId="0" fontId="15" fillId="0" borderId="13" xfId="0" applyFont="1" applyBorder="1" applyAlignment="1">
      <alignment horizontal="left" vertical="top"/>
    </xf>
    <xf numFmtId="0" fontId="15" fillId="0" borderId="13" xfId="0" applyFont="1" applyBorder="1" applyAlignment="1">
      <alignment vertical="top"/>
    </xf>
    <xf numFmtId="0" fontId="15" fillId="0" borderId="13" xfId="0" applyFont="1" applyBorder="1" applyAlignment="1">
      <alignment horizontal="left" vertical="top" wrapText="1"/>
    </xf>
    <xf numFmtId="0" fontId="15" fillId="0" borderId="18" xfId="0" applyFont="1" applyBorder="1" applyAlignment="1">
      <alignment horizontal="left" vertical="top" wrapText="1"/>
    </xf>
    <xf numFmtId="0" fontId="1" fillId="0" borderId="0" xfId="0" applyFont="1" applyAlignment="1">
      <alignment horizontal="center" vertical="center"/>
    </xf>
    <xf numFmtId="0" fontId="0" fillId="5" borderId="13" xfId="0" applyFill="1" applyBorder="1" applyAlignment="1">
      <alignment horizontal="center" vertical="top" wrapText="1"/>
    </xf>
    <xf numFmtId="0" fontId="0" fillId="0" borderId="13" xfId="0" applyBorder="1" applyAlignment="1">
      <alignment horizontal="center" vertical="top" wrapText="1"/>
    </xf>
    <xf numFmtId="0" fontId="0" fillId="5" borderId="13" xfId="0" applyFill="1" applyBorder="1" applyAlignment="1">
      <alignment horizontal="center" wrapText="1"/>
    </xf>
    <xf numFmtId="0" fontId="0" fillId="5" borderId="16" xfId="0" applyFill="1" applyBorder="1" applyAlignment="1">
      <alignment horizontal="center" vertical="top" wrapText="1"/>
    </xf>
    <xf numFmtId="0" fontId="0" fillId="0" borderId="14" xfId="0" applyBorder="1" applyAlignment="1">
      <alignment horizontal="center" vertical="top" wrapText="1"/>
    </xf>
    <xf numFmtId="0" fontId="0" fillId="0" borderId="15" xfId="0" applyBorder="1" applyAlignment="1">
      <alignment horizontal="center" vertical="top" wrapText="1"/>
    </xf>
    <xf numFmtId="0" fontId="0" fillId="0" borderId="14" xfId="0" applyBorder="1" applyAlignment="1">
      <alignment horizontal="center" vertical="top" wrapText="1"/>
      <extLst>
        <ext xmlns:xfpb="http://schemas.microsoft.com/office/spreadsheetml/2022/featurepropertybag" uri="{C7286773-470A-42A8-94C5-96B5CB345126}">
          <xfpb:xfComplement i="0"/>
        </ext>
      </extLst>
    </xf>
    <xf numFmtId="0" fontId="0" fillId="0" borderId="15" xfId="0" applyBorder="1" applyAlignment="1">
      <alignment horizontal="center" vertical="top" wrapText="1"/>
      <extLst>
        <ext xmlns:xfpb="http://schemas.microsoft.com/office/spreadsheetml/2022/featurepropertybag" uri="{C7286773-470A-42A8-94C5-96B5CB345126}">
          <xfpb:xfComplement i="0"/>
        </ext>
      </extLst>
    </xf>
    <xf numFmtId="0" fontId="0" fillId="0" borderId="16" xfId="0" applyBorder="1" applyAlignment="1">
      <alignment horizontal="center" vertical="top" wrapText="1"/>
    </xf>
    <xf numFmtId="0" fontId="3" fillId="0" borderId="14" xfId="0" applyFont="1" applyBorder="1" applyAlignment="1">
      <alignment horizontal="center" vertical="top" wrapText="1"/>
    </xf>
    <xf numFmtId="0" fontId="0" fillId="5" borderId="13" xfId="0" applyFill="1" applyBorder="1" applyAlignment="1">
      <alignment horizontal="left" vertical="top" wrapText="1"/>
    </xf>
    <xf numFmtId="0" fontId="0" fillId="5" borderId="16" xfId="0" applyFill="1" applyBorder="1" applyAlignment="1">
      <alignment horizontal="left" vertical="top" wrapText="1"/>
    </xf>
    <xf numFmtId="0" fontId="0" fillId="0" borderId="17" xfId="0" applyBorder="1" applyAlignment="1">
      <alignment horizontal="center" vertical="top" wrapText="1"/>
    </xf>
    <xf numFmtId="0" fontId="0" fillId="3" borderId="22" xfId="0" applyFill="1" applyBorder="1" applyAlignment="1">
      <alignment horizontal="center" vertical="center" wrapText="1"/>
    </xf>
    <xf numFmtId="0" fontId="0" fillId="3" borderId="23" xfId="0" applyFill="1" applyBorder="1" applyAlignment="1">
      <alignment horizontal="center" vertical="center" wrapText="1"/>
    </xf>
    <xf numFmtId="0" fontId="36" fillId="0" borderId="16" xfId="0" applyFont="1" applyBorder="1" applyAlignment="1">
      <alignment horizontal="left" vertical="top" wrapText="1"/>
    </xf>
  </cellXfs>
  <cellStyles count="9">
    <cellStyle name="Hyperlink" xfId="1" xr:uid="{00000000-000B-0000-0000-000008000000}"/>
    <cellStyle name="z_非表示_テキスト" xfId="5" xr:uid="{8BD515B6-507A-4379-8633-8CAAAEDFA2AF}"/>
    <cellStyle name="タスク" xfId="7" xr:uid="{CCE81D61-6AA0-4227-9094-929574885890}"/>
    <cellStyle name="パーセント" xfId="2" builtinId="5"/>
    <cellStyle name="プロジェクトの開始" xfId="6" xr:uid="{4938B1AE-52E4-4076-B274-708176A2C712}"/>
    <cellStyle name="見出し 2" xfId="3" builtinId="17"/>
    <cellStyle name="見出し 3" xfId="4" builtinId="18"/>
    <cellStyle name="日付" xfId="8" xr:uid="{804BC88E-BF48-4AC9-A5D5-65F55E435732}"/>
    <cellStyle name="標準" xfId="0" builtinId="0"/>
  </cellStyles>
  <dxfs count="28">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font>
        <color rgb="FF9C0006"/>
      </font>
      <fill>
        <patternFill>
          <bgColor rgb="FFFFC7CE"/>
        </patternFill>
      </fill>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000000"/>
        </left>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yyyy/m/d"/>
      <border diagonalUp="0" diagonalDown="0">
        <left style="thin">
          <color rgb="FF000000"/>
        </left>
        <right style="thin">
          <color rgb="FF000000"/>
        </right>
        <top style="thin">
          <color rgb="FF000000"/>
        </top>
        <bottom style="thin">
          <color rgb="FF000000"/>
        </bottom>
        <vertical/>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diagonalUp="0" diagonalDown="0">
        <left style="thin">
          <color rgb="FF000000"/>
        </left>
        <right style="thin">
          <color rgb="FF000000"/>
        </right>
        <top style="thin">
          <color rgb="FF000000"/>
        </top>
        <bottom style="thin">
          <color rgb="FF000000"/>
        </bottom>
        <vertical/>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bottom/>
        <vertical style="thin">
          <color rgb="FF000000"/>
        </vertical>
        <horizontal style="thin">
          <color rgb="FF000000"/>
        </horizontal>
      </border>
    </dxf>
  </dxfs>
  <tableStyles count="0"/>
  <colors>
    <indexedColors>
      <rgbColor rgb="FF000000"/>
      <rgbColor rgb="FFFFFFFF"/>
      <rgbColor rgb="FFFF0000"/>
      <rgbColor rgb="FF00FF00"/>
      <rgbColor rgb="FF0000FF"/>
      <rgbColor rgb="FFFFFF00"/>
      <rgbColor rgb="FFFF00FF"/>
      <rgbColor rgb="FF00FFFF"/>
      <rgbColor rgb="FF000000"/>
      <rgbColor rgb="FF323232"/>
      <rgbColor rgb="FFADADAD"/>
      <rgbColor rgb="FFD6D6D6"/>
      <rgbColor rgb="FF89847F"/>
      <rgbColor rgb="FFE3E3E3"/>
      <rgbColor rgb="FFF4F9F8"/>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microsoft.com/office/2011/relationships/webextension" Target="../webextensions/webextension2.xml"/><Relationship Id="rId2" Type="http://schemas.openxmlformats.org/officeDocument/2006/relationships/image" Target="../media/image1.png"/><Relationship Id="rId1" Type="http://schemas.microsoft.com/office/2011/relationships/webextension" Target="../webextensions/webextension1.xml"/><Relationship Id="rId5" Type="http://schemas.microsoft.com/office/2011/relationships/webextension" Target="../webextensions/webextension4.xml"/><Relationship Id="rId4" Type="http://schemas.microsoft.com/office/2011/relationships/webextension" Target="../webextensions/webextension3.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3</xdr:col>
      <xdr:colOff>285750</xdr:colOff>
      <xdr:row>0</xdr:row>
      <xdr:rowOff>0</xdr:rowOff>
    </xdr:from>
    <xdr:to>
      <xdr:col>3</xdr:col>
      <xdr:colOff>285750</xdr:colOff>
      <xdr:row>0</xdr:row>
      <xdr:rowOff>0</xdr:rowOff>
    </xdr:to>
    <mc:AlternateContent xmlns:mc="http://schemas.openxmlformats.org/markup-compatibility/2006">
      <mc:Choice xmlns:we="http://schemas.microsoft.com/office/webextensions/webextension/2010/11" Requires="we">
        <xdr:graphicFrame macro="">
          <xdr:nvGraphicFramePr>
            <xdr:cNvPr id="2" name="App1">
              <a:extLst>
                <a:ext uri="{FF2B5EF4-FFF2-40B4-BE49-F238E27FC236}">
                  <a16:creationId xmlns:a16="http://schemas.microsoft.com/office/drawing/2014/main" id="{C771EE2A-0A6F-5EDC-73DE-A526B0A62CF3}"/>
                </a:ext>
              </a:extLst>
            </xdr:cNvPr>
            <xdr:cNvGraphicFramePr>
              <a:graphicFrameLocks noGrp="1"/>
            </xdr:cNvGraphicFramePr>
          </xdr:nvGraphicFramePr>
          <xdr:xfrm>
            <a:off x="0" y="0"/>
            <a:ext cx="0" cy="0"/>
          </xdr:xfrm>
          <a:graphic>
            <a:graphicData uri="http://schemas.microsoft.com/office/webextensions/webextension/2010/11">
              <we:webextensionref xmlns:we="http://schemas.microsoft.com/office/webextensions/webextension/2010/11" xmlns:r="http://schemas.openxmlformats.org/officeDocument/2006/relationships" r:id="rId1"/>
            </a:graphicData>
          </a:graphic>
        </xdr:graphicFrame>
      </mc:Choice>
      <mc:Fallback>
        <xdr:pic>
          <xdr:nvPicPr>
            <xdr:cNvPr id="2" name="App1">
              <a:extLst>
                <a:ext uri="{FF2B5EF4-FFF2-40B4-BE49-F238E27FC236}">
                  <a16:creationId xmlns:a16="http://schemas.microsoft.com/office/drawing/2014/main" id="{C771EE2A-0A6F-5EDC-73DE-A526B0A62CF3}"/>
                </a:ext>
              </a:extLst>
            </xdr:cNvPr>
            <xdr:cNvPicPr/>
          </xdr:nvPicPr>
          <xdr:blipFill>
            <a:blip xmlns:r="http://schemas.openxmlformats.org/officeDocument/2006/relationships" r:embed="rId2"/>
            <a:stretch>
              <a:fillRect/>
            </a:stretch>
          </xdr:blipFill>
          <xdr:spPr>
            <a:prstGeom prst="rect">
              <a:avLst/>
            </a:prstGeom>
          </xdr:spPr>
        </xdr:pic>
      </mc:Fallback>
    </mc:AlternateContent>
    <xdr:clientData/>
  </xdr:twoCellAnchor>
  <xdr:twoCellAnchor>
    <xdr:from>
      <xdr:col>2</xdr:col>
      <xdr:colOff>76200</xdr:colOff>
      <xdr:row>0</xdr:row>
      <xdr:rowOff>0</xdr:rowOff>
    </xdr:from>
    <xdr:to>
      <xdr:col>2</xdr:col>
      <xdr:colOff>76200</xdr:colOff>
      <xdr:row>0</xdr:row>
      <xdr:rowOff>0</xdr:rowOff>
    </xdr:to>
    <mc:AlternateContent xmlns:mc="http://schemas.openxmlformats.org/markup-compatibility/2006">
      <mc:Choice xmlns:we="http://schemas.microsoft.com/office/webextensions/webextension/2010/11" Requires="we">
        <xdr:graphicFrame macro="">
          <xdr:nvGraphicFramePr>
            <xdr:cNvPr id="3" name="App2">
              <a:extLst>
                <a:ext uri="{FF2B5EF4-FFF2-40B4-BE49-F238E27FC236}">
                  <a16:creationId xmlns:a16="http://schemas.microsoft.com/office/drawing/2014/main" id="{5D34A414-B253-906A-8B2A-D546F4BAAA3A}"/>
                </a:ext>
                <a:ext uri="{147F2762-F138-4A5C-976F-8EAC2B608ADB}">
                  <a16:predDERef xmlns:a16="http://schemas.microsoft.com/office/drawing/2014/main" pred="{C771EE2A-0A6F-5EDC-73DE-A526B0A62CF3}"/>
                </a:ext>
              </a:extLst>
            </xdr:cNvPr>
            <xdr:cNvGraphicFramePr>
              <a:graphicFrameLocks noGrp="1"/>
            </xdr:cNvGraphicFramePr>
          </xdr:nvGraphicFramePr>
          <xdr:xfrm>
            <a:off x="0" y="0"/>
            <a:ext cx="0" cy="0"/>
          </xdr:xfrm>
          <a:graphic>
            <a:graphicData uri="http://schemas.microsoft.com/office/webextensions/webextension/2010/11">
              <we:webextensionref xmlns:we="http://schemas.microsoft.com/office/webextensions/webextension/2010/11" xmlns:r="http://schemas.openxmlformats.org/officeDocument/2006/relationships" r:id="rId3"/>
            </a:graphicData>
          </a:graphic>
        </xdr:graphicFrame>
      </mc:Choice>
      <mc:Fallback>
        <xdr:pic>
          <xdr:nvPicPr>
            <xdr:cNvPr id="3" name="App2">
              <a:extLst>
                <a:ext uri="{FF2B5EF4-FFF2-40B4-BE49-F238E27FC236}">
                  <a16:creationId xmlns:a16="http://schemas.microsoft.com/office/drawing/2014/main" id="{5D34A414-B253-906A-8B2A-D546F4BAAA3A}"/>
                </a:ext>
                <a:ext uri="{147F2762-F138-4A5C-976F-8EAC2B608ADB}">
                  <a16:predDERef xmlns:a16="http://schemas.microsoft.com/office/drawing/2014/main" pred="{C771EE2A-0A6F-5EDC-73DE-A526B0A62CF3}"/>
                </a:ext>
              </a:extLst>
            </xdr:cNvPr>
            <xdr:cNvPicPr/>
          </xdr:nvPicPr>
          <xdr:blipFill>
            <a:blip xmlns:r="http://schemas.openxmlformats.org/officeDocument/2006/relationships" r:embed="rId2"/>
            <a:stretch>
              <a:fillRect/>
            </a:stretch>
          </xdr:blipFill>
          <xdr:spPr>
            <a:prstGeom prst="rect">
              <a:avLst/>
            </a:prstGeom>
          </xdr:spPr>
        </xdr:pic>
      </mc:Fallback>
    </mc:AlternateContent>
    <xdr:clientData/>
  </xdr:twoCellAnchor>
  <xdr:twoCellAnchor>
    <xdr:from>
      <xdr:col>1</xdr:col>
      <xdr:colOff>1838325</xdr:colOff>
      <xdr:row>0</xdr:row>
      <xdr:rowOff>152400</xdr:rowOff>
    </xdr:from>
    <xdr:to>
      <xdr:col>1</xdr:col>
      <xdr:colOff>1838325</xdr:colOff>
      <xdr:row>0</xdr:row>
      <xdr:rowOff>152400</xdr:rowOff>
    </xdr:to>
    <mc:AlternateContent xmlns:mc="http://schemas.openxmlformats.org/markup-compatibility/2006">
      <mc:Choice xmlns:we="http://schemas.microsoft.com/office/webextensions/webextension/2010/11" Requires="we">
        <xdr:graphicFrame macro="">
          <xdr:nvGraphicFramePr>
            <xdr:cNvPr id="4" name="App3">
              <a:extLst>
                <a:ext uri="{FF2B5EF4-FFF2-40B4-BE49-F238E27FC236}">
                  <a16:creationId xmlns:a16="http://schemas.microsoft.com/office/drawing/2014/main" id="{2F42BB55-CF0A-1BF2-FDAE-40857E5FC670}"/>
                </a:ext>
                <a:ext uri="{147F2762-F138-4A5C-976F-8EAC2B608ADB}">
                  <a16:predDERef xmlns:a16="http://schemas.microsoft.com/office/drawing/2014/main" pred="{5D34A414-B253-906A-8B2A-D546F4BAAA3A}"/>
                </a:ext>
              </a:extLst>
            </xdr:cNvPr>
            <xdr:cNvGraphicFramePr>
              <a:graphicFrameLocks noGrp="1"/>
            </xdr:cNvGraphicFramePr>
          </xdr:nvGraphicFramePr>
          <xdr:xfrm>
            <a:off x="0" y="0"/>
            <a:ext cx="0" cy="0"/>
          </xdr:xfrm>
          <a:graphic>
            <a:graphicData uri="http://schemas.microsoft.com/office/webextensions/webextension/2010/11">
              <we:webextensionref xmlns:we="http://schemas.microsoft.com/office/webextensions/webextension/2010/11" xmlns:r="http://schemas.openxmlformats.org/officeDocument/2006/relationships" r:id="rId4"/>
            </a:graphicData>
          </a:graphic>
        </xdr:graphicFrame>
      </mc:Choice>
      <mc:Fallback>
        <xdr:pic>
          <xdr:nvPicPr>
            <xdr:cNvPr id="4" name="App3">
              <a:extLst>
                <a:ext uri="{FF2B5EF4-FFF2-40B4-BE49-F238E27FC236}">
                  <a16:creationId xmlns:a16="http://schemas.microsoft.com/office/drawing/2014/main" id="{2F42BB55-CF0A-1BF2-FDAE-40857E5FC670}"/>
                </a:ext>
                <a:ext uri="{147F2762-F138-4A5C-976F-8EAC2B608ADB}">
                  <a16:predDERef xmlns:a16="http://schemas.microsoft.com/office/drawing/2014/main" pred="{5D34A414-B253-906A-8B2A-D546F4BAAA3A}"/>
                </a:ext>
              </a:extLst>
            </xdr:cNvPr>
            <xdr:cNvPicPr/>
          </xdr:nvPicPr>
          <xdr:blipFill>
            <a:blip xmlns:r="http://schemas.openxmlformats.org/officeDocument/2006/relationships" r:embed="rId2"/>
            <a:stretch>
              <a:fillRect/>
            </a:stretch>
          </xdr:blipFill>
          <xdr:spPr>
            <a:prstGeom prst="rect">
              <a:avLst/>
            </a:prstGeom>
          </xdr:spPr>
        </xdr:pic>
      </mc:Fallback>
    </mc:AlternateContent>
    <xdr:clientData/>
  </xdr:twoCellAnchor>
  <xdr:twoCellAnchor>
    <xdr:from>
      <xdr:col>1</xdr:col>
      <xdr:colOff>1085850</xdr:colOff>
      <xdr:row>0</xdr:row>
      <xdr:rowOff>-695325</xdr:rowOff>
    </xdr:from>
    <xdr:to>
      <xdr:col>1</xdr:col>
      <xdr:colOff>1085850</xdr:colOff>
      <xdr:row>0</xdr:row>
      <xdr:rowOff>-695325</xdr:rowOff>
    </xdr:to>
    <mc:AlternateContent xmlns:mc="http://schemas.openxmlformats.org/markup-compatibility/2006">
      <mc:Choice xmlns:we="http://schemas.microsoft.com/office/webextensions/webextension/2010/11" Requires="we">
        <xdr:graphicFrame macro="">
          <xdr:nvGraphicFramePr>
            <xdr:cNvPr id="5" name="App4">
              <a:extLst>
                <a:ext uri="{FF2B5EF4-FFF2-40B4-BE49-F238E27FC236}">
                  <a16:creationId xmlns:a16="http://schemas.microsoft.com/office/drawing/2014/main" id="{89BABA95-ED3C-EAFF-9DF6-CCE9AACA9900}"/>
                </a:ext>
                <a:ext uri="{147F2762-F138-4A5C-976F-8EAC2B608ADB}">
                  <a16:predDERef xmlns:a16="http://schemas.microsoft.com/office/drawing/2014/main" pred="{2F42BB55-CF0A-1BF2-FDAE-40857E5FC670}"/>
                </a:ext>
              </a:extLst>
            </xdr:cNvPr>
            <xdr:cNvGraphicFramePr>
              <a:graphicFrameLocks noGrp="1"/>
            </xdr:cNvGraphicFramePr>
          </xdr:nvGraphicFramePr>
          <xdr:xfrm>
            <a:off x="0" y="0"/>
            <a:ext cx="0" cy="0"/>
          </xdr:xfrm>
          <a:graphic>
            <a:graphicData uri="http://schemas.microsoft.com/office/webextensions/webextension/2010/11">
              <we:webextensionref xmlns:we="http://schemas.microsoft.com/office/webextensions/webextension/2010/11" xmlns:r="http://schemas.openxmlformats.org/officeDocument/2006/relationships" r:id="rId5"/>
            </a:graphicData>
          </a:graphic>
        </xdr:graphicFrame>
      </mc:Choice>
      <mc:Fallback>
        <xdr:pic>
          <xdr:nvPicPr>
            <xdr:cNvPr id="5" name="App4">
              <a:extLst>
                <a:ext uri="{FF2B5EF4-FFF2-40B4-BE49-F238E27FC236}">
                  <a16:creationId xmlns:a16="http://schemas.microsoft.com/office/drawing/2014/main" id="{89BABA95-ED3C-EAFF-9DF6-CCE9AACA9900}"/>
                </a:ext>
                <a:ext uri="{147F2762-F138-4A5C-976F-8EAC2B608ADB}">
                  <a16:predDERef xmlns:a16="http://schemas.microsoft.com/office/drawing/2014/main" pred="{2F42BB55-CF0A-1BF2-FDAE-40857E5FC670}"/>
                </a:ext>
              </a:extLst>
            </xdr:cNvPr>
            <xdr:cNvPicPr/>
          </xdr:nvPicPr>
          <xdr:blipFill>
            <a:blip xmlns:r="http://schemas.openxmlformats.org/officeDocument/2006/relationships" r:embed="rId2"/>
            <a:stretch>
              <a:fillRect/>
            </a:stretch>
          </xdr:blipFill>
          <xdr:spPr>
            <a:prstGeom prst="rect">
              <a:avLst/>
            </a:prstGeom>
          </xdr:spPr>
        </xdr:pic>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14</xdr:col>
      <xdr:colOff>352425</xdr:colOff>
      <xdr:row>19</xdr:row>
      <xdr:rowOff>57150</xdr:rowOff>
    </xdr:from>
    <xdr:to>
      <xdr:col>16</xdr:col>
      <xdr:colOff>85725</xdr:colOff>
      <xdr:row>25</xdr:row>
      <xdr:rowOff>38100</xdr:rowOff>
    </xdr:to>
    <xdr:sp macro="" textlink="">
      <xdr:nvSpPr>
        <xdr:cNvPr id="3" name="テキスト ボックス 2">
          <a:extLst>
            <a:ext uri="{FF2B5EF4-FFF2-40B4-BE49-F238E27FC236}">
              <a16:creationId xmlns:a16="http://schemas.microsoft.com/office/drawing/2014/main" id="{EE702D3D-CCA1-1640-088C-6152F1E895F8}"/>
            </a:ext>
          </a:extLst>
        </xdr:cNvPr>
        <xdr:cNvSpPr txBox="1"/>
      </xdr:nvSpPr>
      <xdr:spPr>
        <a:xfrm>
          <a:off x="8886825" y="3133725"/>
          <a:ext cx="952500" cy="952500"/>
        </a:xfrm>
        <a:prstGeom prst="rect">
          <a:avLst/>
        </a:prstGeom>
        <a:noFill/>
        <a:ln w="12700" cap="flat">
          <a:noFill/>
          <a:miter lim="400000"/>
        </a:ln>
        <a:effectLst/>
        <a:sp3d/>
      </xdr:spPr>
      <xdr:style>
        <a:lnRef idx="0">
          <a:scrgbClr r="0" g="0" b="0"/>
        </a:lnRef>
        <a:fillRef idx="0">
          <a:scrgbClr r="0" g="0" b="0"/>
        </a:fillRef>
        <a:effectRef idx="0">
          <a:scrgbClr r="0" g="0" b="0"/>
        </a:effectRef>
        <a:fontRef idx="none"/>
      </xdr:style>
      <xdr:txBody>
        <a:bodyPr rot="0" spcFirstLastPara="1" vertOverflow="overflow" horzOverflow="overflow" vert="horz" wrap="square" lIns="50800" tIns="50800" rIns="50800" bIns="50800" numCol="1" spcCol="38100" rtlCol="0" anchor="t">
          <a:spAutoFit/>
        </a:bodyPr>
        <a:lstStyle/>
        <a:p>
          <a:pPr marL="0" marR="0" indent="0" algn="l" defTabSz="457200" rtl="0" fontAlgn="auto" latinLnBrk="0" hangingPunct="0">
            <a:lnSpc>
              <a:spcPct val="100000"/>
            </a:lnSpc>
            <a:spcBef>
              <a:spcPts val="0"/>
            </a:spcBef>
            <a:spcAft>
              <a:spcPts val="0"/>
            </a:spcAft>
            <a:buClrTx/>
            <a:buSzTx/>
            <a:buFontTx/>
            <a:buNone/>
          </a:pPr>
          <a:endParaRPr kumimoji="0" lang="en-US" sz="1100" b="0" i="0" u="none" strike="noStrike" cap="none" spc="0" normalizeH="0" baseline="0">
            <a:ln>
              <a:noFill/>
            </a:ln>
            <a:solidFill>
              <a:srgbClr val="000000"/>
            </a:solidFill>
            <a:effectLst/>
            <a:uFillTx/>
            <a:latin typeface="+mn-lt"/>
            <a:ea typeface="+mn-ea"/>
            <a:cs typeface="+mn-cs"/>
            <a:sym typeface="ヒラギノ角ゴ ProN W3"/>
          </a:endParaRPr>
        </a:p>
      </xdr:txBody>
    </xdr:sp>
    <xdr:clientData/>
  </xdr:twoCellAnchor>
  <xdr:twoCellAnchor>
    <xdr:from>
      <xdr:col>14</xdr:col>
      <xdr:colOff>542925</xdr:colOff>
      <xdr:row>20</xdr:row>
      <xdr:rowOff>85725</xdr:rowOff>
    </xdr:from>
    <xdr:to>
      <xdr:col>16</xdr:col>
      <xdr:colOff>276225</xdr:colOff>
      <xdr:row>26</xdr:row>
      <xdr:rowOff>66675</xdr:rowOff>
    </xdr:to>
    <xdr:sp macro="" textlink="">
      <xdr:nvSpPr>
        <xdr:cNvPr id="4" name="テキスト ボックス 3">
          <a:extLst>
            <a:ext uri="{FF2B5EF4-FFF2-40B4-BE49-F238E27FC236}">
              <a16:creationId xmlns:a16="http://schemas.microsoft.com/office/drawing/2014/main" id="{6A85E8FA-2275-27FC-11B2-A2C9A318BFE8}"/>
            </a:ext>
            <a:ext uri="{147F2762-F138-4A5C-976F-8EAC2B608ADB}">
              <a16:predDERef xmlns:a16="http://schemas.microsoft.com/office/drawing/2014/main" pred="{EE702D3D-CCA1-1640-088C-6152F1E895F8}"/>
            </a:ext>
          </a:extLst>
        </xdr:cNvPr>
        <xdr:cNvSpPr txBox="1"/>
      </xdr:nvSpPr>
      <xdr:spPr>
        <a:xfrm>
          <a:off x="9077325" y="3324225"/>
          <a:ext cx="952500" cy="952500"/>
        </a:xfrm>
        <a:prstGeom prst="rect">
          <a:avLst/>
        </a:prstGeom>
        <a:noFill/>
        <a:ln w="12700" cap="flat">
          <a:noFill/>
          <a:miter lim="400000"/>
        </a:ln>
        <a:effectLst/>
        <a:sp3d/>
      </xdr:spPr>
      <xdr:style>
        <a:lnRef idx="0">
          <a:scrgbClr r="0" g="0" b="0"/>
        </a:lnRef>
        <a:fillRef idx="0">
          <a:scrgbClr r="0" g="0" b="0"/>
        </a:fillRef>
        <a:effectRef idx="0">
          <a:scrgbClr r="0" g="0" b="0"/>
        </a:effectRef>
        <a:fontRef idx="none"/>
      </xdr:style>
      <xdr:txBody>
        <a:bodyPr rot="0" spcFirstLastPara="1" vertOverflow="overflow" horzOverflow="overflow" vert="horz" wrap="square" lIns="50800" tIns="50800" rIns="50800" bIns="50800" numCol="1" spcCol="38100" rtlCol="0" anchor="t">
          <a:spAutoFit/>
        </a:bodyPr>
        <a:lstStyle/>
        <a:p>
          <a:pPr marL="0" marR="0" indent="0" algn="l" defTabSz="457200" rtl="0" fontAlgn="auto" latinLnBrk="0" hangingPunct="0">
            <a:lnSpc>
              <a:spcPct val="100000"/>
            </a:lnSpc>
            <a:spcBef>
              <a:spcPts val="0"/>
            </a:spcBef>
            <a:spcAft>
              <a:spcPts val="0"/>
            </a:spcAft>
            <a:buClrTx/>
            <a:buSzTx/>
            <a:buFontTx/>
            <a:buNone/>
          </a:pPr>
          <a:endParaRPr kumimoji="0" lang="en-US" sz="1100" b="0" i="0" u="none" strike="noStrike" cap="none" spc="0" normalizeH="0" baseline="0">
            <a:ln>
              <a:noFill/>
            </a:ln>
            <a:solidFill>
              <a:srgbClr val="000000"/>
            </a:solidFill>
            <a:effectLst/>
            <a:uFillTx/>
            <a:latin typeface="+mn-lt"/>
            <a:ea typeface="+mn-ea"/>
            <a:cs typeface="+mn-cs"/>
            <a:sym typeface="ヒラギノ角ゴ ProN W3"/>
          </a:endParaRPr>
        </a:p>
      </xdr:txBody>
    </xdr:sp>
    <xdr:clientData/>
  </xdr:twoCellAnchor>
  <xdr:twoCellAnchor>
    <xdr:from>
      <xdr:col>15</xdr:col>
      <xdr:colOff>123825</xdr:colOff>
      <xdr:row>21</xdr:row>
      <xdr:rowOff>114300</xdr:rowOff>
    </xdr:from>
    <xdr:to>
      <xdr:col>16</xdr:col>
      <xdr:colOff>466725</xdr:colOff>
      <xdr:row>27</xdr:row>
      <xdr:rowOff>95250</xdr:rowOff>
    </xdr:to>
    <xdr:sp macro="" textlink="">
      <xdr:nvSpPr>
        <xdr:cNvPr id="5" name="テキスト ボックス 4">
          <a:extLst>
            <a:ext uri="{FF2B5EF4-FFF2-40B4-BE49-F238E27FC236}">
              <a16:creationId xmlns:a16="http://schemas.microsoft.com/office/drawing/2014/main" id="{403BD735-B4AD-97D3-A470-0FCD1443DD5D}"/>
            </a:ext>
            <a:ext uri="{147F2762-F138-4A5C-976F-8EAC2B608ADB}">
              <a16:predDERef xmlns:a16="http://schemas.microsoft.com/office/drawing/2014/main" pred="{6A85E8FA-2275-27FC-11B2-A2C9A318BFE8}"/>
            </a:ext>
          </a:extLst>
        </xdr:cNvPr>
        <xdr:cNvSpPr txBox="1"/>
      </xdr:nvSpPr>
      <xdr:spPr>
        <a:xfrm>
          <a:off x="9267825" y="3514725"/>
          <a:ext cx="952500" cy="952500"/>
        </a:xfrm>
        <a:prstGeom prst="rect">
          <a:avLst/>
        </a:prstGeom>
        <a:noFill/>
        <a:ln w="12700" cap="flat">
          <a:noFill/>
          <a:miter lim="400000"/>
        </a:ln>
        <a:effectLst/>
        <a:sp3d/>
      </xdr:spPr>
      <xdr:style>
        <a:lnRef idx="0">
          <a:scrgbClr r="0" g="0" b="0"/>
        </a:lnRef>
        <a:fillRef idx="0">
          <a:scrgbClr r="0" g="0" b="0"/>
        </a:fillRef>
        <a:effectRef idx="0">
          <a:scrgbClr r="0" g="0" b="0"/>
        </a:effectRef>
        <a:fontRef idx="none"/>
      </xdr:style>
      <xdr:txBody>
        <a:bodyPr rot="0" spcFirstLastPara="1" vertOverflow="overflow" horzOverflow="overflow" vert="horz" wrap="square" lIns="50800" tIns="50800" rIns="50800" bIns="50800" numCol="1" spcCol="38100" rtlCol="0" anchor="t">
          <a:spAutoFit/>
        </a:bodyPr>
        <a:lstStyle/>
        <a:p>
          <a:pPr marL="0" marR="0" indent="0" algn="l" defTabSz="457200" rtl="0" fontAlgn="auto" latinLnBrk="0" hangingPunct="0">
            <a:lnSpc>
              <a:spcPct val="100000"/>
            </a:lnSpc>
            <a:spcBef>
              <a:spcPts val="0"/>
            </a:spcBef>
            <a:spcAft>
              <a:spcPts val="0"/>
            </a:spcAft>
            <a:buClrTx/>
            <a:buSzTx/>
            <a:buFontTx/>
            <a:buNone/>
          </a:pPr>
          <a:endParaRPr kumimoji="0" lang="en-US" sz="1100" b="0" i="0" u="none" strike="noStrike" cap="none" spc="0" normalizeH="0" baseline="0">
            <a:ln>
              <a:noFill/>
            </a:ln>
            <a:solidFill>
              <a:srgbClr val="000000"/>
            </a:solidFill>
            <a:effectLst/>
            <a:uFillTx/>
            <a:latin typeface="+mn-lt"/>
            <a:ea typeface="+mn-ea"/>
            <a:cs typeface="+mn-cs"/>
            <a:sym typeface="ヒラギノ角ゴ ProN W3"/>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459218</xdr:colOff>
      <xdr:row>40</xdr:row>
      <xdr:rowOff>131380</xdr:rowOff>
    </xdr:to>
    <xdr:pic>
      <xdr:nvPicPr>
        <xdr:cNvPr id="14" name="Picture 3">
          <a:extLst>
            <a:ext uri="{FF2B5EF4-FFF2-40B4-BE49-F238E27FC236}">
              <a16:creationId xmlns:a16="http://schemas.microsoft.com/office/drawing/2014/main" id="{5624A90F-746A-BDA5-CD44-CD74686276C5}"/>
            </a:ext>
          </a:extLst>
        </xdr:cNvPr>
        <xdr:cNvPicPr>
          <a:picLocks noChangeAspect="1"/>
        </xdr:cNvPicPr>
      </xdr:nvPicPr>
      <xdr:blipFill>
        <a:blip xmlns:r="http://schemas.openxmlformats.org/officeDocument/2006/relationships" r:embed="rId1"/>
        <a:stretch>
          <a:fillRect/>
        </a:stretch>
      </xdr:blipFill>
      <xdr:spPr>
        <a:xfrm>
          <a:off x="0" y="0"/>
          <a:ext cx="5957442" cy="617482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20</xdr:col>
      <xdr:colOff>200025</xdr:colOff>
      <xdr:row>54</xdr:row>
      <xdr:rowOff>114300</xdr:rowOff>
    </xdr:to>
    <xdr:pic>
      <xdr:nvPicPr>
        <xdr:cNvPr id="6" name="図 1">
          <a:extLst>
            <a:ext uri="{FF2B5EF4-FFF2-40B4-BE49-F238E27FC236}">
              <a16:creationId xmlns:a16="http://schemas.microsoft.com/office/drawing/2014/main" id="{72F4CFBE-1F4F-5D7B-0D62-9E9DCFB2B917}"/>
            </a:ext>
          </a:extLst>
        </xdr:cNvPr>
        <xdr:cNvPicPr>
          <a:picLocks noChangeAspect="1"/>
        </xdr:cNvPicPr>
      </xdr:nvPicPr>
      <xdr:blipFill>
        <a:blip xmlns:r="http://schemas.openxmlformats.org/officeDocument/2006/relationships" r:embed="rId1"/>
        <a:stretch>
          <a:fillRect/>
        </a:stretch>
      </xdr:blipFill>
      <xdr:spPr>
        <a:xfrm>
          <a:off x="0" y="0"/>
          <a:ext cx="12392025" cy="8858250"/>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6F77B62-461A-481A-8B6E-4746E76BE903}" name="テーブル1" displayName="テーブル1" ref="A1:K74" totalsRowShown="0" headerRowDxfId="27">
  <autoFilter ref="A1:K74" xr:uid="{26F77B62-461A-481A-8B6E-4746E76BE903}"/>
  <tableColumns count="11">
    <tableColumn id="1" xr3:uid="{D80B0DF9-231D-4FA1-82C8-036CDB97FB8F}" name="No" dataDxfId="26"/>
    <tableColumn id="2" xr3:uid="{07587E0C-4031-45F1-A978-C217CE8AEE64}" name="タスク" dataDxfId="25"/>
    <tableColumn id="11" xr3:uid="{748FFCDA-B363-428E-8357-4FAF09545516}" name="権限" dataDxfId="24"/>
    <tableColumn id="3" xr3:uid="{9E4EBA36-5CBA-45CC-B523-3976C74F5C60}" name="優先度" dataDxfId="23"/>
    <tableColumn id="4" xr3:uid="{2834A06A-C489-413E-A037-1F05E6511477}" name="行程" dataDxfId="22"/>
    <tableColumn id="5" xr3:uid="{AA7DEFD7-D016-4455-A79B-2C0E1FE80475}" name="作業時間" dataDxfId="21"/>
    <tableColumn id="7" xr3:uid="{DB698F6D-B2D2-4342-90FF-2A2C6E90FE3C}" name="ステータス" dataDxfId="20"/>
    <tableColumn id="10" xr3:uid="{01E66FAA-4653-4A61-A943-AE45D7DA7863}" name="完了予定日" dataDxfId="19"/>
    <tableColumn id="6" xr3:uid="{92543761-2562-4F02-9AD8-0C8E40162EFB}" name="ブランチ名" dataDxfId="18"/>
    <tableColumn id="8" xr3:uid="{F5DF2480-E0AA-4030-AB95-037E07400496}" name="担当者" dataDxfId="17"/>
    <tableColumn id="9" xr3:uid="{4BAD40F1-704E-46AC-AFE9-3ED87D3CD02D}" name="備考" dataDxfId="16"/>
  </tableColumns>
  <tableStyleInfo name="TableStyleMedium2" showFirstColumn="0" showLastColumn="0" showRowStripes="1" showColumnStripes="0"/>
</table>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ヒラギノ角ゴ ProN W6"/>
        <a:ea typeface="ヒラギノ角ゴ ProN W6"/>
        <a:cs typeface="ヒラギノ角ゴ ProN W6"/>
      </a:majorFont>
      <a:minorFont>
        <a:latin typeface="ヒラギノ角ゴ ProN W3"/>
        <a:ea typeface="ヒラギノ角ゴ ProN W3"/>
        <a:cs typeface="ヒラギノ角ゴ ProN W3"/>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mn-lt"/>
            <a:ea typeface="+mn-ea"/>
            <a:cs typeface="+mn-cs"/>
            <a:sym typeface="ヒラギノ角ゴ ProN W3"/>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ヒラギノ角ゴ ProN W3"/>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ebextensions/webextension1.xml><?xml version="1.0" encoding="utf-8"?>
<we:webextension xmlns:we="http://schemas.microsoft.com/office/webextensions/webextension/2010/11" id="{C771EE2A-0A6F-5EDC-73DE-A526B0A62CF3}">
  <we:reference id="wa104017332" version="1.0.0.0" store="en-US" storeType="omex"/>
  <we:alternateReferences>
    <we:reference id="wa104017332" version="1.0.0.0" store="omex" storeType="omex"/>
  </we:alternateReferences>
  <we:properties/>
  <we:bindings/>
  <we:snapshot xmlns:r="http://schemas.openxmlformats.org/officeDocument/2006/relationships"/>
</we:webextension>
</file>

<file path=xl/webextensions/webextension2.xml><?xml version="1.0" encoding="utf-8"?>
<we:webextension xmlns:we="http://schemas.microsoft.com/office/webextensions/webextension/2010/11" id="{5D34A414-B253-906A-8B2A-D546F4BAAA3A}">
  <we:reference id="WA104017332" version="1.0.0.0" store="ja-jp" storeType="omex"/>
  <we:alternateReferences>
    <we:reference id="WA104017332" version="1.0.0.0" store="omex" storeType="omex"/>
  </we:alternateReferences>
  <we:properties/>
  <we:bindings/>
  <we:snapshot xmlns:r="http://schemas.openxmlformats.org/officeDocument/2006/relationships"/>
</we:webextension>
</file>

<file path=xl/webextensions/webextension3.xml><?xml version="1.0" encoding="utf-8"?>
<we:webextension xmlns:we="http://schemas.microsoft.com/office/webextensions/webextension/2010/11" id="{2F42BB55-CF0A-1BF2-FDAE-40857E5FC670}">
  <we:reference id="WA104017332" version="1.0.0.0" store="ja-jp" storeType="omex"/>
  <we:alternateReferences>
    <we:reference id="WA104017332" version="1.0.0.0" store="omex" storeType="omex"/>
  </we:alternateReferences>
  <we:properties/>
  <we:bindings/>
  <we:snapshot xmlns:r="http://schemas.openxmlformats.org/officeDocument/2006/relationships"/>
</we:webextension>
</file>

<file path=xl/webextensions/webextension4.xml><?xml version="1.0" encoding="utf-8"?>
<we:webextension xmlns:we="http://schemas.microsoft.com/office/webextensions/webextension/2010/11" id="{89BABA95-ED3C-EAFF-9DF6-CCE9AACA9900}">
  <we:reference id="WA104017332" version="1.0.0.0" store="ja-jp" storeType="omex"/>
  <we:alternateReferences>
    <we:reference id="WA104017332" version="1.0.0.0" store="omex"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hyperlink" Target="http://160.251.205.21:9138/" TargetMode="Externa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2AEF2-75D6-4805-A076-4541089318ED}">
  <dimension ref="A1:C5"/>
  <sheetViews>
    <sheetView workbookViewId="0">
      <selection activeCell="B5" sqref="B5"/>
    </sheetView>
  </sheetViews>
  <sheetFormatPr defaultRowHeight="12"/>
  <cols>
    <col min="2" max="2" width="34" customWidth="1"/>
    <col min="3" max="3" width="13.140625" customWidth="1"/>
  </cols>
  <sheetData>
    <row r="1" spans="1:3" ht="18.75" customHeight="1">
      <c r="A1" t="s">
        <v>0</v>
      </c>
      <c r="B1" s="61" t="s">
        <v>1</v>
      </c>
    </row>
    <row r="2" spans="1:3">
      <c r="A2" t="s">
        <v>2</v>
      </c>
      <c r="B2" t="s">
        <v>3</v>
      </c>
      <c r="C2" t="s">
        <v>4</v>
      </c>
    </row>
    <row r="3" spans="1:3">
      <c r="A3" t="s">
        <v>5</v>
      </c>
      <c r="B3" t="s">
        <v>6</v>
      </c>
      <c r="C3" t="s">
        <v>7</v>
      </c>
    </row>
    <row r="4" spans="1:3">
      <c r="A4" t="s">
        <v>8</v>
      </c>
      <c r="B4" t="s">
        <v>9</v>
      </c>
      <c r="C4" t="s">
        <v>7</v>
      </c>
    </row>
    <row r="5" spans="1:3">
      <c r="A5" t="s">
        <v>10</v>
      </c>
      <c r="B5" t="s">
        <v>11</v>
      </c>
      <c r="C5" t="s">
        <v>7</v>
      </c>
    </row>
  </sheetData>
  <phoneticPr fontId="35"/>
  <hyperlinks>
    <hyperlink ref="B1" r:id="rId1" xr:uid="{FD96E528-2D45-42C0-A526-2E8B3D6A5F2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C30DE-A1C7-4267-8E52-03845A588F8C}">
  <sheetPr>
    <tabColor theme="0" tint="-0.14999847407452621"/>
  </sheetPr>
  <dimension ref="B1:C14"/>
  <sheetViews>
    <sheetView showGridLines="0" topLeftCell="A3" workbookViewId="0">
      <selection activeCell="C9" sqref="C9"/>
    </sheetView>
  </sheetViews>
  <sheetFormatPr defaultRowHeight="12"/>
  <cols>
    <col min="1" max="1" width="5.5703125" customWidth="1"/>
    <col min="2" max="2" width="22" customWidth="1"/>
    <col min="3" max="3" width="79.42578125" customWidth="1"/>
  </cols>
  <sheetData>
    <row r="1" spans="2:3">
      <c r="B1" s="147"/>
      <c r="C1" s="147"/>
    </row>
    <row r="2" spans="2:3" ht="132.75" customHeight="1">
      <c r="B2" s="79" t="s">
        <v>12</v>
      </c>
      <c r="C2" s="80" t="s">
        <v>13</v>
      </c>
    </row>
    <row r="3" spans="2:3">
      <c r="B3" s="51"/>
      <c r="C3" s="51"/>
    </row>
    <row r="4" spans="2:3" ht="18" customHeight="1">
      <c r="B4" s="148" t="s">
        <v>14</v>
      </c>
      <c r="C4" s="148"/>
    </row>
    <row r="5" spans="2:3" ht="19.5" customHeight="1">
      <c r="B5" s="68" t="s">
        <v>15</v>
      </c>
      <c r="C5" s="68" t="s">
        <v>16</v>
      </c>
    </row>
    <row r="6" spans="2:3" ht="36.75" customHeight="1">
      <c r="B6" s="23" t="s">
        <v>17</v>
      </c>
      <c r="C6" s="23" t="s">
        <v>18</v>
      </c>
    </row>
    <row r="7" spans="2:3" ht="55.5" customHeight="1">
      <c r="B7" s="23" t="s">
        <v>19</v>
      </c>
      <c r="C7" s="78" t="s">
        <v>20</v>
      </c>
    </row>
    <row r="8" spans="2:3" ht="52.5" customHeight="1">
      <c r="B8" s="23" t="s">
        <v>21</v>
      </c>
      <c r="C8" s="78" t="s">
        <v>22</v>
      </c>
    </row>
    <row r="9" spans="2:3" ht="48.75" customHeight="1">
      <c r="B9" s="23" t="s">
        <v>23</v>
      </c>
      <c r="C9" s="23" t="s">
        <v>24</v>
      </c>
    </row>
    <row r="10" spans="2:3" ht="48.75" customHeight="1">
      <c r="B10" s="23" t="s">
        <v>25</v>
      </c>
      <c r="C10" s="23" t="s">
        <v>26</v>
      </c>
    </row>
    <row r="11" spans="2:3" ht="17.25" customHeight="1">
      <c r="B11" s="23" t="s">
        <v>27</v>
      </c>
      <c r="C11" s="23" t="s">
        <v>28</v>
      </c>
    </row>
    <row r="12" spans="2:3" ht="40.5" customHeight="1">
      <c r="B12" s="23" t="s">
        <v>29</v>
      </c>
      <c r="C12" s="23" t="s">
        <v>30</v>
      </c>
    </row>
    <row r="13" spans="2:3" ht="18.75" customHeight="1">
      <c r="B13" s="23" t="s">
        <v>31</v>
      </c>
      <c r="C13" s="23" t="s">
        <v>32</v>
      </c>
    </row>
    <row r="14" spans="2:3" ht="18" customHeight="1">
      <c r="B14" s="23" t="s">
        <v>33</v>
      </c>
      <c r="C14" s="23" t="s">
        <v>34</v>
      </c>
    </row>
  </sheetData>
  <mergeCells count="2">
    <mergeCell ref="B1:C1"/>
    <mergeCell ref="B4:C4"/>
  </mergeCells>
  <phoneticPr fontId="35"/>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87945-AF6C-414B-AF01-3E30E5779054}">
  <sheetPr>
    <tabColor theme="4" tint="0.59999389629810485"/>
    <pageSetUpPr fitToPage="1"/>
  </sheetPr>
  <dimension ref="A1:AW32"/>
  <sheetViews>
    <sheetView showGridLines="0" showRuler="0" zoomScaleNormal="100" zoomScalePageLayoutView="70" workbookViewId="0">
      <pane ySplit="4" topLeftCell="A5" activePane="bottomLeft" state="frozen"/>
      <selection pane="bottomLeft" activeCell="I5" sqref="I5"/>
    </sheetView>
  </sheetViews>
  <sheetFormatPr defaultRowHeight="30" customHeight="1"/>
  <cols>
    <col min="1" max="1" width="3.28515625" style="88" customWidth="1"/>
    <col min="2" max="2" width="24.7109375" style="91" customWidth="1"/>
    <col min="3" max="3" width="13.5703125" style="91" customWidth="1"/>
    <col min="4" max="4" width="13.140625" style="122" customWidth="1"/>
    <col min="5" max="5" width="13.140625" style="91" customWidth="1"/>
    <col min="6" max="6" width="3.28515625" style="91" customWidth="1"/>
    <col min="7" max="7" width="7.7109375" style="91" customWidth="1"/>
    <col min="8" max="36" width="3.140625" style="91" customWidth="1"/>
    <col min="37" max="42" width="3.42578125" style="91" customWidth="1"/>
    <col min="43" max="43" width="23.5703125" style="91" customWidth="1"/>
    <col min="44" max="44" width="11.5703125" style="91" customWidth="1"/>
    <col min="45" max="45" width="13.5703125" style="91" customWidth="1"/>
    <col min="46" max="46" width="12.5703125" style="91" customWidth="1"/>
    <col min="47" max="16384" width="9.140625" style="91"/>
  </cols>
  <sheetData>
    <row r="1" spans="1:49" ht="30" customHeight="1">
      <c r="A1" s="88" t="s">
        <v>35</v>
      </c>
      <c r="B1" s="89" t="s">
        <v>36</v>
      </c>
      <c r="C1" s="90"/>
      <c r="D1" s="152">
        <v>46082</v>
      </c>
      <c r="E1" s="152"/>
    </row>
    <row r="2" spans="1:49" ht="30" customHeight="1">
      <c r="A2" s="92" t="s">
        <v>37</v>
      </c>
      <c r="B2" s="149" t="s">
        <v>38</v>
      </c>
      <c r="C2" s="149"/>
      <c r="D2" s="93">
        <v>1</v>
      </c>
      <c r="H2" s="151">
        <f>H3</f>
        <v>46083</v>
      </c>
      <c r="I2" s="151"/>
      <c r="J2" s="151"/>
      <c r="K2" s="151"/>
      <c r="L2" s="151"/>
      <c r="M2" s="151"/>
      <c r="N2" s="151"/>
      <c r="O2" s="151">
        <f>O3</f>
        <v>46090</v>
      </c>
      <c r="P2" s="151"/>
      <c r="Q2" s="151"/>
      <c r="R2" s="151"/>
      <c r="S2" s="151"/>
      <c r="T2" s="151"/>
      <c r="U2" s="151"/>
      <c r="V2" s="151">
        <f>V3</f>
        <v>46097</v>
      </c>
      <c r="W2" s="151"/>
      <c r="X2" s="151"/>
      <c r="Y2" s="151"/>
      <c r="Z2" s="151"/>
      <c r="AA2" s="151"/>
      <c r="AB2" s="151"/>
      <c r="AC2" s="151">
        <f>AC3</f>
        <v>46104</v>
      </c>
      <c r="AD2" s="151"/>
      <c r="AE2" s="151"/>
      <c r="AF2" s="151"/>
      <c r="AG2" s="151"/>
      <c r="AH2" s="151"/>
      <c r="AI2" s="151"/>
      <c r="AJ2" s="151">
        <f>AJ3</f>
        <v>46111</v>
      </c>
      <c r="AK2" s="151"/>
      <c r="AL2" s="151"/>
      <c r="AM2" s="151"/>
      <c r="AN2" s="151"/>
      <c r="AO2" s="151"/>
      <c r="AP2" s="151"/>
      <c r="AQ2" s="126"/>
      <c r="AR2" s="127"/>
      <c r="AS2" s="127"/>
      <c r="AT2" s="127"/>
      <c r="AU2" s="127"/>
      <c r="AV2" s="127"/>
      <c r="AW2" s="127"/>
    </row>
    <row r="3" spans="1:49" ht="24" customHeight="1">
      <c r="A3" s="92" t="s">
        <v>39</v>
      </c>
      <c r="B3" s="150"/>
      <c r="C3" s="150"/>
      <c r="D3" s="94"/>
      <c r="E3" s="94"/>
      <c r="F3" s="94"/>
      <c r="H3" s="95">
        <f>プロジェクトの開始-WEEKDAY(プロジェクトの開始,1)+2+7*(週表示-1)</f>
        <v>46083</v>
      </c>
      <c r="I3" s="96">
        <f>H3+1</f>
        <v>46084</v>
      </c>
      <c r="J3" s="96">
        <f t="shared" ref="J3:AI3" si="0">I3+1</f>
        <v>46085</v>
      </c>
      <c r="K3" s="96">
        <f t="shared" si="0"/>
        <v>46086</v>
      </c>
      <c r="L3" s="96">
        <f t="shared" si="0"/>
        <v>46087</v>
      </c>
      <c r="M3" s="96">
        <f t="shared" si="0"/>
        <v>46088</v>
      </c>
      <c r="N3" s="97">
        <f t="shared" si="0"/>
        <v>46089</v>
      </c>
      <c r="O3" s="95">
        <f>N3+1</f>
        <v>46090</v>
      </c>
      <c r="P3" s="96">
        <f>O3+1</f>
        <v>46091</v>
      </c>
      <c r="Q3" s="96">
        <f t="shared" si="0"/>
        <v>46092</v>
      </c>
      <c r="R3" s="96">
        <f t="shared" si="0"/>
        <v>46093</v>
      </c>
      <c r="S3" s="96">
        <f t="shared" si="0"/>
        <v>46094</v>
      </c>
      <c r="T3" s="96">
        <f t="shared" si="0"/>
        <v>46095</v>
      </c>
      <c r="U3" s="97">
        <f t="shared" si="0"/>
        <v>46096</v>
      </c>
      <c r="V3" s="95">
        <f>U3+1</f>
        <v>46097</v>
      </c>
      <c r="W3" s="96">
        <f>V3+1</f>
        <v>46098</v>
      </c>
      <c r="X3" s="96">
        <f t="shared" si="0"/>
        <v>46099</v>
      </c>
      <c r="Y3" s="96">
        <f t="shared" si="0"/>
        <v>46100</v>
      </c>
      <c r="Z3" s="96">
        <f t="shared" si="0"/>
        <v>46101</v>
      </c>
      <c r="AA3" s="96">
        <f t="shared" si="0"/>
        <v>46102</v>
      </c>
      <c r="AB3" s="97">
        <f t="shared" si="0"/>
        <v>46103</v>
      </c>
      <c r="AC3" s="95">
        <f>AB3+1</f>
        <v>46104</v>
      </c>
      <c r="AD3" s="96">
        <f>AC3+1</f>
        <v>46105</v>
      </c>
      <c r="AE3" s="96">
        <f t="shared" si="0"/>
        <v>46106</v>
      </c>
      <c r="AF3" s="96">
        <f t="shared" si="0"/>
        <v>46107</v>
      </c>
      <c r="AG3" s="96">
        <f t="shared" si="0"/>
        <v>46108</v>
      </c>
      <c r="AH3" s="96">
        <f t="shared" si="0"/>
        <v>46109</v>
      </c>
      <c r="AI3" s="97">
        <f t="shared" si="0"/>
        <v>46110</v>
      </c>
      <c r="AJ3" s="95">
        <f>AI3+1</f>
        <v>46111</v>
      </c>
      <c r="AK3" s="96">
        <f>AJ3+1</f>
        <v>46112</v>
      </c>
      <c r="AL3" s="96">
        <f t="shared" ref="AL3:AP3" si="1">AK3+1</f>
        <v>46113</v>
      </c>
      <c r="AM3" s="96">
        <f t="shared" si="1"/>
        <v>46114</v>
      </c>
      <c r="AN3" s="96">
        <f t="shared" si="1"/>
        <v>46115</v>
      </c>
      <c r="AO3" s="96">
        <f t="shared" si="1"/>
        <v>46116</v>
      </c>
      <c r="AP3" s="97">
        <f t="shared" si="1"/>
        <v>46117</v>
      </c>
      <c r="AQ3" s="96"/>
    </row>
    <row r="4" spans="1:49" ht="30" customHeight="1">
      <c r="A4" s="92" t="s">
        <v>40</v>
      </c>
      <c r="B4" s="98" t="s">
        <v>41</v>
      </c>
      <c r="C4" s="99" t="s">
        <v>42</v>
      </c>
      <c r="D4" s="99" t="s">
        <v>43</v>
      </c>
      <c r="E4" s="99" t="s">
        <v>44</v>
      </c>
      <c r="F4" s="99"/>
      <c r="G4" s="99" t="s">
        <v>45</v>
      </c>
      <c r="H4" s="100" t="str">
        <f t="shared" ref="H4:AI4" si="2">LEFT(TEXT(H3,"aaa"),1)</f>
        <v>月</v>
      </c>
      <c r="I4" s="100" t="str">
        <f t="shared" si="2"/>
        <v>火</v>
      </c>
      <c r="J4" s="100" t="str">
        <f t="shared" si="2"/>
        <v>水</v>
      </c>
      <c r="K4" s="100" t="str">
        <f t="shared" si="2"/>
        <v>木</v>
      </c>
      <c r="L4" s="100" t="str">
        <f t="shared" si="2"/>
        <v>金</v>
      </c>
      <c r="M4" s="100" t="str">
        <f t="shared" si="2"/>
        <v>土</v>
      </c>
      <c r="N4" s="100" t="str">
        <f t="shared" si="2"/>
        <v>日</v>
      </c>
      <c r="O4" s="100" t="str">
        <f t="shared" si="2"/>
        <v>月</v>
      </c>
      <c r="P4" s="100" t="str">
        <f t="shared" si="2"/>
        <v>火</v>
      </c>
      <c r="Q4" s="100" t="str">
        <f t="shared" si="2"/>
        <v>水</v>
      </c>
      <c r="R4" s="100" t="str">
        <f t="shared" si="2"/>
        <v>木</v>
      </c>
      <c r="S4" s="100" t="str">
        <f t="shared" si="2"/>
        <v>金</v>
      </c>
      <c r="T4" s="100" t="str">
        <f t="shared" si="2"/>
        <v>土</v>
      </c>
      <c r="U4" s="100" t="str">
        <f t="shared" si="2"/>
        <v>日</v>
      </c>
      <c r="V4" s="100" t="str">
        <f t="shared" si="2"/>
        <v>月</v>
      </c>
      <c r="W4" s="100" t="str">
        <f t="shared" si="2"/>
        <v>火</v>
      </c>
      <c r="X4" s="100" t="str">
        <f t="shared" si="2"/>
        <v>水</v>
      </c>
      <c r="Y4" s="100" t="str">
        <f t="shared" si="2"/>
        <v>木</v>
      </c>
      <c r="Z4" s="100" t="str">
        <f t="shared" si="2"/>
        <v>金</v>
      </c>
      <c r="AA4" s="100" t="str">
        <f t="shared" si="2"/>
        <v>土</v>
      </c>
      <c r="AB4" s="100" t="str">
        <f t="shared" si="2"/>
        <v>日</v>
      </c>
      <c r="AC4" s="100" t="str">
        <f t="shared" si="2"/>
        <v>月</v>
      </c>
      <c r="AD4" s="100" t="str">
        <f t="shared" si="2"/>
        <v>火</v>
      </c>
      <c r="AE4" s="100" t="str">
        <f t="shared" si="2"/>
        <v>水</v>
      </c>
      <c r="AF4" s="100" t="str">
        <f t="shared" si="2"/>
        <v>木</v>
      </c>
      <c r="AG4" s="100" t="str">
        <f t="shared" si="2"/>
        <v>金</v>
      </c>
      <c r="AH4" s="100" t="str">
        <f t="shared" si="2"/>
        <v>土</v>
      </c>
      <c r="AI4" s="100" t="str">
        <f t="shared" si="2"/>
        <v>日</v>
      </c>
      <c r="AJ4" s="100" t="str">
        <f>LEFT(TEXT(AJ3,"aaa"),1)</f>
        <v>月</v>
      </c>
      <c r="AK4" s="101" t="str">
        <f>LEFT(TEXT(AK3,"aaa"),1)</f>
        <v>火</v>
      </c>
      <c r="AL4" s="101" t="str">
        <f t="shared" ref="AL4:AN4" si="3">LEFT(TEXT(AL3,"aaa"),1)</f>
        <v>水</v>
      </c>
      <c r="AM4" s="101" t="str">
        <f t="shared" si="3"/>
        <v>木</v>
      </c>
      <c r="AN4" s="101" t="str">
        <f t="shared" si="3"/>
        <v>金</v>
      </c>
      <c r="AO4" s="101" t="str">
        <f t="shared" ref="AO4" si="4">LEFT(TEXT(AO3,"aaa"),1)</f>
        <v>土</v>
      </c>
      <c r="AP4" s="101" t="str">
        <f t="shared" ref="AP4" si="5">LEFT(TEXT(AP3,"aaa"),1)</f>
        <v>日</v>
      </c>
      <c r="AQ4" s="102" t="s">
        <v>46</v>
      </c>
    </row>
    <row r="5" spans="1:49" s="110" customFormat="1" ht="30" customHeight="1">
      <c r="A5" s="103" t="s">
        <v>47</v>
      </c>
      <c r="B5" s="104" t="s">
        <v>48</v>
      </c>
      <c r="C5" s="105">
        <v>1</v>
      </c>
      <c r="D5" s="106">
        <v>46084</v>
      </c>
      <c r="E5" s="106">
        <v>46087</v>
      </c>
      <c r="F5" s="107"/>
      <c r="G5" s="107">
        <f>IF(OR(D5="", E5=""), "", NETWORKDAYS(D5, E5, $B$15:$B$32))</f>
        <v>4</v>
      </c>
      <c r="H5" s="108"/>
      <c r="I5" s="109"/>
      <c r="J5" s="109"/>
      <c r="K5" s="109"/>
      <c r="L5" s="109"/>
      <c r="M5" s="125"/>
      <c r="N5" s="125"/>
      <c r="O5" s="108"/>
      <c r="P5" s="108"/>
      <c r="Q5" s="108"/>
      <c r="R5" s="108"/>
      <c r="S5" s="108"/>
      <c r="T5" s="125"/>
      <c r="U5" s="125"/>
      <c r="V5" s="108"/>
      <c r="W5" s="108"/>
      <c r="X5" s="108"/>
      <c r="Y5" s="108"/>
      <c r="Z5" s="125"/>
      <c r="AA5" s="125"/>
      <c r="AB5" s="125"/>
      <c r="AC5" s="108"/>
      <c r="AD5" s="108"/>
      <c r="AE5" s="108"/>
      <c r="AF5" s="108"/>
      <c r="AG5" s="108"/>
      <c r="AH5" s="125"/>
      <c r="AI5" s="125"/>
      <c r="AJ5" s="108"/>
      <c r="AK5" s="108"/>
      <c r="AL5" s="108"/>
      <c r="AM5" s="108"/>
      <c r="AN5" s="108"/>
      <c r="AO5" s="125"/>
      <c r="AP5" s="125"/>
      <c r="AQ5" s="108"/>
    </row>
    <row r="6" spans="1:49" s="110" customFormat="1" ht="30" customHeight="1">
      <c r="A6" s="103"/>
      <c r="B6" s="104" t="s">
        <v>23</v>
      </c>
      <c r="C6" s="105">
        <v>1</v>
      </c>
      <c r="D6" s="106">
        <v>46084</v>
      </c>
      <c r="E6" s="106">
        <v>46087</v>
      </c>
      <c r="F6" s="107"/>
      <c r="G6" s="107">
        <f t="shared" ref="G6:G10" si="6">IF(OR(D6="", E6=""), "", NETWORKDAYS(D6, E6, $B$15:$B$32))</f>
        <v>4</v>
      </c>
      <c r="H6" s="108"/>
      <c r="I6" s="109"/>
      <c r="J6" s="109"/>
      <c r="K6" s="109"/>
      <c r="L6" s="109"/>
      <c r="M6" s="125"/>
      <c r="N6" s="125"/>
      <c r="O6" s="108"/>
      <c r="P6" s="108"/>
      <c r="Q6" s="108"/>
      <c r="R6" s="108"/>
      <c r="S6" s="108"/>
      <c r="T6" s="125"/>
      <c r="U6" s="125"/>
      <c r="V6" s="108"/>
      <c r="W6" s="108"/>
      <c r="X6" s="108"/>
      <c r="Y6" s="108"/>
      <c r="Z6" s="125"/>
      <c r="AA6" s="125"/>
      <c r="AB6" s="125"/>
      <c r="AC6" s="108"/>
      <c r="AD6" s="108"/>
      <c r="AE6" s="108"/>
      <c r="AF6" s="108"/>
      <c r="AG6" s="108"/>
      <c r="AH6" s="125"/>
      <c r="AI6" s="125"/>
      <c r="AJ6" s="108"/>
      <c r="AK6" s="108"/>
      <c r="AL6" s="108"/>
      <c r="AM6" s="108"/>
      <c r="AN6" s="108"/>
      <c r="AO6" s="125"/>
      <c r="AP6" s="125"/>
      <c r="AQ6" s="108"/>
    </row>
    <row r="7" spans="1:49" s="110" customFormat="1" ht="30" customHeight="1">
      <c r="A7" s="92" t="s">
        <v>49</v>
      </c>
      <c r="B7" s="111" t="s">
        <v>50</v>
      </c>
      <c r="C7" s="112">
        <v>1</v>
      </c>
      <c r="D7" s="113">
        <v>46090</v>
      </c>
      <c r="E7" s="113">
        <v>46104</v>
      </c>
      <c r="F7" s="114"/>
      <c r="G7" s="107">
        <f t="shared" si="6"/>
        <v>10</v>
      </c>
      <c r="H7" s="108"/>
      <c r="I7" s="108"/>
      <c r="J7" s="108"/>
      <c r="K7" s="108"/>
      <c r="L7" s="108"/>
      <c r="M7" s="125"/>
      <c r="N7" s="125"/>
      <c r="O7" s="109"/>
      <c r="P7" s="109"/>
      <c r="Q7" s="109"/>
      <c r="R7" s="109"/>
      <c r="S7" s="109"/>
      <c r="T7" s="125"/>
      <c r="U7" s="125"/>
      <c r="V7" s="109"/>
      <c r="W7" s="109"/>
      <c r="X7" s="109"/>
      <c r="Y7" s="109"/>
      <c r="Z7" s="125"/>
      <c r="AA7" s="125"/>
      <c r="AB7" s="125"/>
      <c r="AC7" s="109"/>
      <c r="AD7" s="108"/>
      <c r="AE7" s="108"/>
      <c r="AF7" s="108"/>
      <c r="AG7" s="108"/>
      <c r="AH7" s="125"/>
      <c r="AI7" s="125"/>
      <c r="AJ7" s="108"/>
      <c r="AK7" s="108"/>
      <c r="AL7" s="108"/>
      <c r="AM7" s="108"/>
      <c r="AN7" s="108"/>
      <c r="AO7" s="125"/>
      <c r="AP7" s="125"/>
      <c r="AQ7" s="108"/>
    </row>
    <row r="8" spans="1:49" s="110" customFormat="1" ht="30" customHeight="1">
      <c r="A8" s="88"/>
      <c r="B8" s="111" t="s">
        <v>29</v>
      </c>
      <c r="C8" s="112">
        <v>0.3</v>
      </c>
      <c r="D8" s="113">
        <v>46100</v>
      </c>
      <c r="E8" s="113">
        <v>46106</v>
      </c>
      <c r="F8" s="114"/>
      <c r="G8" s="107">
        <f t="shared" si="6"/>
        <v>4</v>
      </c>
      <c r="H8" s="108"/>
      <c r="I8" s="108"/>
      <c r="J8" s="108"/>
      <c r="K8" s="108"/>
      <c r="L8" s="108"/>
      <c r="M8" s="125"/>
      <c r="N8" s="125"/>
      <c r="O8" s="108"/>
      <c r="P8" s="108"/>
      <c r="Q8" s="108"/>
      <c r="R8" s="108"/>
      <c r="S8" s="108"/>
      <c r="T8" s="125"/>
      <c r="U8" s="125"/>
      <c r="V8" s="108"/>
      <c r="W8" s="108"/>
      <c r="X8" s="108"/>
      <c r="Y8" s="109"/>
      <c r="Z8" s="125"/>
      <c r="AA8" s="125"/>
      <c r="AB8" s="125"/>
      <c r="AC8" s="109"/>
      <c r="AD8" s="130"/>
      <c r="AE8" s="109"/>
      <c r="AF8" s="108"/>
      <c r="AG8" s="108"/>
      <c r="AH8" s="125"/>
      <c r="AI8" s="125"/>
      <c r="AJ8" s="108"/>
      <c r="AK8" s="108"/>
      <c r="AL8" s="108"/>
      <c r="AM8" s="108"/>
      <c r="AN8" s="108"/>
      <c r="AO8" s="125"/>
      <c r="AP8" s="125"/>
      <c r="AQ8" s="108"/>
    </row>
    <row r="9" spans="1:49" s="110" customFormat="1" ht="30" customHeight="1">
      <c r="A9" s="88"/>
      <c r="B9" s="111" t="s">
        <v>31</v>
      </c>
      <c r="C9" s="112">
        <v>1</v>
      </c>
      <c r="D9" s="113">
        <v>46107</v>
      </c>
      <c r="E9" s="113">
        <v>46108</v>
      </c>
      <c r="F9" s="114"/>
      <c r="G9" s="107">
        <f t="shared" si="6"/>
        <v>2</v>
      </c>
      <c r="H9" s="108"/>
      <c r="I9" s="108"/>
      <c r="J9" s="108"/>
      <c r="K9" s="108"/>
      <c r="L9" s="108"/>
      <c r="M9" s="125"/>
      <c r="N9" s="125"/>
      <c r="O9" s="108"/>
      <c r="P9" s="108"/>
      <c r="Q9" s="108"/>
      <c r="R9" s="108"/>
      <c r="S9" s="108"/>
      <c r="T9" s="125"/>
      <c r="U9" s="125"/>
      <c r="V9" s="108"/>
      <c r="W9" s="108"/>
      <c r="X9" s="115"/>
      <c r="Y9" s="108"/>
      <c r="Z9" s="125"/>
      <c r="AA9" s="125"/>
      <c r="AB9" s="125"/>
      <c r="AC9" s="108"/>
      <c r="AD9" s="108"/>
      <c r="AE9" s="108"/>
      <c r="AF9" s="109"/>
      <c r="AG9" s="109"/>
      <c r="AH9" s="125"/>
      <c r="AI9" s="125"/>
      <c r="AJ9" s="108"/>
      <c r="AK9" s="108"/>
      <c r="AL9" s="108"/>
      <c r="AM9" s="108"/>
      <c r="AN9" s="108"/>
      <c r="AO9" s="125"/>
      <c r="AP9" s="125"/>
      <c r="AQ9" s="108"/>
    </row>
    <row r="10" spans="1:49" s="110" customFormat="1" ht="30" customHeight="1">
      <c r="A10" s="88" t="s">
        <v>51</v>
      </c>
      <c r="B10" s="111" t="s">
        <v>52</v>
      </c>
      <c r="C10" s="112">
        <v>1</v>
      </c>
      <c r="D10" s="113">
        <v>46111</v>
      </c>
      <c r="E10" s="113">
        <v>46112</v>
      </c>
      <c r="F10" s="114"/>
      <c r="G10" s="107">
        <f t="shared" si="6"/>
        <v>2</v>
      </c>
      <c r="H10" s="108"/>
      <c r="I10" s="108"/>
      <c r="J10" s="108"/>
      <c r="K10" s="108"/>
      <c r="L10" s="108"/>
      <c r="M10" s="125"/>
      <c r="N10" s="125"/>
      <c r="O10" s="108"/>
      <c r="P10" s="108"/>
      <c r="Q10" s="108"/>
      <c r="R10" s="108"/>
      <c r="S10" s="108"/>
      <c r="T10" s="125"/>
      <c r="U10" s="125"/>
      <c r="V10" s="108"/>
      <c r="W10" s="108"/>
      <c r="X10" s="108"/>
      <c r="Y10" s="108"/>
      <c r="Z10" s="125"/>
      <c r="AA10" s="125"/>
      <c r="AB10" s="125"/>
      <c r="AC10" s="108"/>
      <c r="AD10" s="108"/>
      <c r="AE10" s="108"/>
      <c r="AF10" s="108"/>
      <c r="AG10" s="108"/>
      <c r="AH10" s="125"/>
      <c r="AI10" s="125"/>
      <c r="AJ10" s="109"/>
      <c r="AK10" s="109"/>
      <c r="AL10" s="108"/>
      <c r="AM10" s="108"/>
      <c r="AN10" s="108"/>
      <c r="AO10" s="125"/>
      <c r="AP10" s="125"/>
      <c r="AQ10" s="108"/>
    </row>
    <row r="11" spans="1:49" s="110" customFormat="1" ht="30" customHeight="1">
      <c r="A11" s="92" t="s">
        <v>53</v>
      </c>
      <c r="B11" s="116" t="s">
        <v>54</v>
      </c>
      <c r="C11" s="117"/>
      <c r="D11" s="118"/>
      <c r="E11" s="119"/>
      <c r="F11" s="120"/>
      <c r="G11" s="120" t="str">
        <f t="shared" ref="G11" si="7">IF(OR(ISBLANK(タスク_開始),ISBLANK(タスク_終了)),"",タスク_終了-タスク_開始+1)</f>
        <v/>
      </c>
      <c r="H11" s="121"/>
      <c r="I11" s="121"/>
      <c r="J11" s="121"/>
      <c r="K11" s="121"/>
      <c r="L11" s="121"/>
      <c r="M11" s="121"/>
      <c r="N11" s="121"/>
      <c r="O11" s="121"/>
      <c r="P11" s="121"/>
      <c r="Q11" s="121"/>
      <c r="R11" s="121"/>
      <c r="S11" s="121"/>
      <c r="T11" s="121"/>
      <c r="U11" s="121"/>
      <c r="V11" s="121"/>
      <c r="W11" s="121"/>
      <c r="X11" s="121"/>
      <c r="Y11" s="121"/>
      <c r="Z11" s="121"/>
      <c r="AA11" s="121"/>
      <c r="AB11" s="121"/>
      <c r="AC11" s="121"/>
      <c r="AD11" s="121"/>
      <c r="AE11" s="121"/>
      <c r="AF11" s="121"/>
      <c r="AG11" s="121"/>
      <c r="AH11" s="121"/>
      <c r="AI11" s="121"/>
      <c r="AJ11" s="121"/>
      <c r="AK11" s="121"/>
      <c r="AL11" s="121"/>
      <c r="AM11" s="121"/>
      <c r="AN11" s="121"/>
      <c r="AO11" s="121"/>
      <c r="AP11" s="121"/>
      <c r="AQ11" s="121"/>
    </row>
    <row r="12" spans="1:49" ht="30" customHeight="1">
      <c r="F12" s="123"/>
    </row>
    <row r="13" spans="1:49" ht="15.75">
      <c r="B13" s="91" t="s">
        <v>55</v>
      </c>
      <c r="E13" s="124"/>
    </row>
    <row r="14" spans="1:49" ht="15.75">
      <c r="B14" s="132" t="s">
        <v>56</v>
      </c>
      <c r="C14" s="132" t="s">
        <v>57</v>
      </c>
    </row>
    <row r="15" spans="1:49" ht="15.75">
      <c r="B15" s="134">
        <v>46023</v>
      </c>
      <c r="C15" s="133" t="s">
        <v>58</v>
      </c>
    </row>
    <row r="16" spans="1:49" ht="15.75">
      <c r="B16" s="134">
        <v>46034</v>
      </c>
      <c r="C16" s="133" t="s">
        <v>59</v>
      </c>
    </row>
    <row r="17" spans="2:3" ht="15.75">
      <c r="B17" s="134">
        <v>46064</v>
      </c>
      <c r="C17" s="133" t="s">
        <v>60</v>
      </c>
    </row>
    <row r="18" spans="2:3" ht="15.75">
      <c r="B18" s="134">
        <v>46076</v>
      </c>
      <c r="C18" s="133" t="s">
        <v>61</v>
      </c>
    </row>
    <row r="19" spans="2:3" ht="15.75">
      <c r="B19" s="134">
        <v>46101</v>
      </c>
      <c r="C19" s="133" t="s">
        <v>62</v>
      </c>
    </row>
    <row r="20" spans="2:3" ht="15.75">
      <c r="B20" s="134">
        <v>46141</v>
      </c>
      <c r="C20" s="133" t="s">
        <v>63</v>
      </c>
    </row>
    <row r="21" spans="2:3" ht="15.75">
      <c r="B21" s="134">
        <v>46145</v>
      </c>
      <c r="C21" s="133" t="s">
        <v>64</v>
      </c>
    </row>
    <row r="22" spans="2:3" ht="15.75">
      <c r="B22" s="134">
        <v>46146</v>
      </c>
      <c r="C22" s="133" t="s">
        <v>65</v>
      </c>
    </row>
    <row r="23" spans="2:3" ht="15.75">
      <c r="B23" s="134">
        <v>46147</v>
      </c>
      <c r="C23" s="133" t="s">
        <v>66</v>
      </c>
    </row>
    <row r="24" spans="2:3" ht="15.75">
      <c r="B24" s="134">
        <v>46148</v>
      </c>
      <c r="C24" s="133" t="s">
        <v>67</v>
      </c>
    </row>
    <row r="25" spans="2:3" ht="15.75">
      <c r="B25" s="134">
        <v>46223</v>
      </c>
      <c r="C25" s="133" t="s">
        <v>68</v>
      </c>
    </row>
    <row r="26" spans="2:3" ht="15.75">
      <c r="B26" s="134">
        <v>46245</v>
      </c>
      <c r="C26" s="133" t="s">
        <v>69</v>
      </c>
    </row>
    <row r="27" spans="2:3" ht="15.75">
      <c r="B27" s="134">
        <v>46286</v>
      </c>
      <c r="C27" s="133" t="s">
        <v>70</v>
      </c>
    </row>
    <row r="28" spans="2:3" ht="15.75">
      <c r="B28" s="134">
        <v>46287</v>
      </c>
      <c r="C28" s="133" t="s">
        <v>71</v>
      </c>
    </row>
    <row r="29" spans="2:3" ht="15.75">
      <c r="B29" s="134">
        <v>46288</v>
      </c>
      <c r="C29" s="133" t="s">
        <v>72</v>
      </c>
    </row>
    <row r="30" spans="2:3" ht="15.75">
      <c r="B30" s="134">
        <v>46307</v>
      </c>
      <c r="C30" s="133" t="s">
        <v>73</v>
      </c>
    </row>
    <row r="31" spans="2:3" ht="15.75">
      <c r="B31" s="134">
        <v>46329</v>
      </c>
      <c r="C31" s="133" t="s">
        <v>74</v>
      </c>
    </row>
    <row r="32" spans="2:3" ht="15.75">
      <c r="B32" s="134">
        <v>46349</v>
      </c>
      <c r="C32" s="133" t="s">
        <v>75</v>
      </c>
    </row>
  </sheetData>
  <mergeCells count="7">
    <mergeCell ref="B2:C3"/>
    <mergeCell ref="AJ2:AP2"/>
    <mergeCell ref="D1:E1"/>
    <mergeCell ref="H2:N2"/>
    <mergeCell ref="O2:U2"/>
    <mergeCell ref="V2:AB2"/>
    <mergeCell ref="AC2:AI2"/>
  </mergeCells>
  <phoneticPr fontId="4"/>
  <conditionalFormatting sqref="C5:C11">
    <cfRule type="dataBar" priority="30">
      <dataBar>
        <cfvo type="num" val="0"/>
        <cfvo type="num" val="1"/>
        <color theme="0" tint="-0.249977111117893"/>
      </dataBar>
      <extLst>
        <ext xmlns:x14="http://schemas.microsoft.com/office/spreadsheetml/2009/9/main" uri="{B025F937-C7B1-47D3-B67F-A62EFF666E3E}">
          <x14:id>{AF953157-C4B4-411C-B5AC-B42AD346051C}</x14:id>
        </ext>
      </extLst>
    </cfRule>
  </conditionalFormatting>
  <conditionalFormatting sqref="H5:S6">
    <cfRule type="expression" dxfId="15" priority="1">
      <formula>AND(TODAY()&gt;=H$3,TODAY()&lt;I$3)</formula>
    </cfRule>
  </conditionalFormatting>
  <conditionalFormatting sqref="H3:AP3 H4:AJ4 V5:Z6 AC5:AG6 AJ5:AM9 T5:U10 AA5:AB10 AH5:AI10 AD7:AG8 H7:N9 O8:S9 V9:Z10 H10:S10 AC10:AG10 H11:AM11">
    <cfRule type="expression" dxfId="14" priority="31">
      <formula>AND(TODAY()&gt;=H$3,TODAY()&lt;I$3)</formula>
    </cfRule>
  </conditionalFormatting>
  <conditionalFormatting sqref="H5:AP8 H9:AE9 AG9:AP9 H10:AP10">
    <cfRule type="expression" dxfId="13" priority="5">
      <formula>AND($H3&gt;=$D5, $H3&lt;=$E5)</formula>
    </cfRule>
  </conditionalFormatting>
  <conditionalFormatting sqref="I5:L6">
    <cfRule type="expression" dxfId="12" priority="2">
      <formula>AND(TODAY()&gt;=H$3,TODAY()&lt;I$3)</formula>
    </cfRule>
  </conditionalFormatting>
  <conditionalFormatting sqref="O7:S7">
    <cfRule type="expression" dxfId="11" priority="29">
      <formula>AND(TODAY()&gt;=N$3,TODAY()&lt;O$3)</formula>
    </cfRule>
  </conditionalFormatting>
  <conditionalFormatting sqref="P6">
    <cfRule type="expression" dxfId="10" priority="12">
      <formula>AND(TODAY()&gt;=O$3,TODAY()&lt;P$3)</formula>
    </cfRule>
  </conditionalFormatting>
  <conditionalFormatting sqref="V7:Z8">
    <cfRule type="expression" dxfId="9" priority="24">
      <formula>AND(TODAY()&gt;=U$3,TODAY()&lt;V$3)</formula>
    </cfRule>
  </conditionalFormatting>
  <conditionalFormatting sqref="AC7">
    <cfRule type="expression" dxfId="8" priority="23">
      <formula>AND(TODAY()&gt;=AC$3,TODAY()&lt;AD$3)</formula>
    </cfRule>
  </conditionalFormatting>
  <conditionalFormatting sqref="AC9:AE9">
    <cfRule type="expression" dxfId="7" priority="27">
      <formula>AND(TODAY()&gt;=AC$3,TODAY()&lt;AD$3)</formula>
    </cfRule>
  </conditionalFormatting>
  <conditionalFormatting sqref="AG9">
    <cfRule type="expression" dxfId="6" priority="20">
      <formula>AND(TODAY()&gt;=AF$3,TODAY()&lt;AG$3)</formula>
    </cfRule>
  </conditionalFormatting>
  <conditionalFormatting sqref="AJ10:AK10">
    <cfRule type="expression" dxfId="5" priority="19">
      <formula>AND(TODAY()&gt;=AI$3,TODAY()&lt;AJ$3)</formula>
    </cfRule>
  </conditionalFormatting>
  <conditionalFormatting sqref="AL10:AN10">
    <cfRule type="expression" dxfId="4" priority="6">
      <formula>AND(TODAY()&gt;=AL$3,TODAY()&lt;AM$3)</formula>
    </cfRule>
  </conditionalFormatting>
  <conditionalFormatting sqref="AN5:AN9 AN11:AP11">
    <cfRule type="expression" dxfId="3" priority="36">
      <formula>AND(TODAY()&gt;=AN$3,TODAY()&lt;AQ$3)</formula>
    </cfRule>
  </conditionalFormatting>
  <conditionalFormatting sqref="AO5:AP10">
    <cfRule type="expression" dxfId="2" priority="8">
      <formula>AND(TODAY()&gt;=AO$3,TODAY()&lt;AP$3)</formula>
    </cfRule>
  </conditionalFormatting>
  <conditionalFormatting sqref="AQ3 AK4:AQ4">
    <cfRule type="expression" dxfId="1" priority="32">
      <formula>AND(TODAY()&gt;=AK$3,TODAY()&lt;#REF!)</formula>
    </cfRule>
  </conditionalFormatting>
  <conditionalFormatting sqref="AQ5:AQ11">
    <cfRule type="expression" dxfId="0" priority="16">
      <formula>AND(TODAY()&gt;=AQ$3,TODAY()&lt;AR$3)</formula>
    </cfRule>
  </conditionalFormatting>
  <dataValidations count="1">
    <dataValidation type="whole" operator="greaterThanOrEqual" allowBlank="1" showInputMessage="1" promptTitle="週表示" prompt="この数字を変更すると、ガント チャート ビューがスクロールされます。" sqref="D2" xr:uid="{15D107C7-295E-4560-970D-DA064C5164DC}">
      <formula1>1</formula1>
    </dataValidation>
  </dataValidations>
  <printOptions horizontalCentered="1"/>
  <pageMargins left="0.35" right="0.35" top="0.35" bottom="0.5" header="0.3" footer="0.3"/>
  <pageSetup paperSize="9" scale="51" fitToHeight="0" orientation="landscape"/>
  <headerFooter differentFirst="1" scaleWithDoc="0">
    <oddFooter>Page &amp;P of &amp;N</oddFooter>
  </headerFooter>
  <rowBreaks count="1" manualBreakCount="1">
    <brk id="10" max="16383" man="1"/>
  </rowBreaks>
  <colBreaks count="1" manualBreakCount="1">
    <brk id="1" max="1048575" man="1"/>
  </colBreaks>
  <extLst>
    <ext xmlns:x14="http://schemas.microsoft.com/office/spreadsheetml/2009/9/main" uri="{78C0D931-6437-407d-A8EE-F0AAD7539E65}">
      <x14:conditionalFormattings>
        <x14:conditionalFormatting xmlns:xm="http://schemas.microsoft.com/office/excel/2006/main">
          <x14:cfRule type="dataBar" id="{AF953157-C4B4-411C-B5AC-B42AD346051C}">
            <x14:dataBar minLength="0" maxLength="100" gradient="0">
              <x14:cfvo type="num">
                <xm:f>0</xm:f>
              </x14:cfvo>
              <x14:cfvo type="num">
                <xm:f>1</xm:f>
              </x14:cfvo>
              <x14:negativeFillColor rgb="FFFF0000"/>
              <x14:axisColor rgb="FF000000"/>
            </x14:dataBar>
          </x14:cfRule>
          <xm:sqref>C5:C11</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83D41-EDE8-4003-BE85-451FBD0A157A}">
  <sheetPr>
    <tabColor theme="4" tint="0.59999389629810485"/>
  </sheetPr>
  <dimension ref="A1:K264"/>
  <sheetViews>
    <sheetView showGridLines="0" workbookViewId="0">
      <selection activeCell="F12" sqref="F12"/>
    </sheetView>
  </sheetViews>
  <sheetFormatPr defaultRowHeight="12"/>
  <cols>
    <col min="1" max="1" width="5.85546875" style="23" customWidth="1"/>
    <col min="2" max="2" width="45.85546875" style="23" customWidth="1"/>
    <col min="3" max="3" width="11" style="23" customWidth="1"/>
    <col min="4" max="4" width="9.7109375" style="23" customWidth="1"/>
    <col min="5" max="5" width="16.5703125" style="23" customWidth="1"/>
    <col min="6" max="6" width="11.28515625" style="50" customWidth="1"/>
    <col min="7" max="7" width="13.42578125" style="23" customWidth="1"/>
    <col min="8" max="8" width="15" style="23" customWidth="1"/>
    <col min="9" max="9" width="24.5703125" style="23" customWidth="1"/>
    <col min="10" max="10" width="9.5703125" style="23" customWidth="1"/>
    <col min="11" max="11" width="50" style="23" customWidth="1"/>
  </cols>
  <sheetData>
    <row r="1" spans="1:11" ht="16.5" customHeight="1">
      <c r="A1" s="23" t="s">
        <v>76</v>
      </c>
      <c r="B1" s="23" t="s">
        <v>41</v>
      </c>
      <c r="C1" s="23" t="s">
        <v>2</v>
      </c>
      <c r="D1" s="23" t="s">
        <v>77</v>
      </c>
      <c r="E1" s="23" t="s">
        <v>78</v>
      </c>
      <c r="F1" s="50" t="s">
        <v>79</v>
      </c>
      <c r="G1" s="23" t="s">
        <v>80</v>
      </c>
      <c r="H1" s="23" t="s">
        <v>81</v>
      </c>
      <c r="I1" s="23" t="s">
        <v>82</v>
      </c>
      <c r="J1" s="23" t="s">
        <v>83</v>
      </c>
      <c r="K1" s="23" t="s">
        <v>46</v>
      </c>
    </row>
    <row r="2" spans="1:11">
      <c r="B2" s="23" t="s">
        <v>23</v>
      </c>
      <c r="D2" s="23" t="s">
        <v>84</v>
      </c>
      <c r="E2" s="23" t="s">
        <v>85</v>
      </c>
      <c r="F2" s="50" t="s">
        <v>86</v>
      </c>
      <c r="H2" s="39"/>
    </row>
    <row r="3" spans="1:11">
      <c r="B3" s="23" t="s">
        <v>87</v>
      </c>
      <c r="C3" s="23" t="s">
        <v>88</v>
      </c>
      <c r="D3" s="23" t="s">
        <v>84</v>
      </c>
      <c r="E3" s="23" t="s">
        <v>85</v>
      </c>
      <c r="F3" s="50">
        <v>4</v>
      </c>
      <c r="H3" s="39"/>
    </row>
    <row r="4" spans="1:11">
      <c r="B4" s="23" t="s">
        <v>89</v>
      </c>
      <c r="C4" s="23" t="s">
        <v>88</v>
      </c>
      <c r="D4" s="23" t="s">
        <v>84</v>
      </c>
      <c r="E4" s="23" t="s">
        <v>85</v>
      </c>
      <c r="F4" s="50">
        <v>8</v>
      </c>
      <c r="H4" s="39"/>
    </row>
    <row r="5" spans="1:11">
      <c r="B5" s="23" t="s">
        <v>90</v>
      </c>
      <c r="C5" s="23" t="s">
        <v>88</v>
      </c>
      <c r="D5" s="23" t="s">
        <v>84</v>
      </c>
      <c r="E5" s="23" t="s">
        <v>85</v>
      </c>
      <c r="F5" s="50">
        <v>8</v>
      </c>
      <c r="H5" s="39"/>
    </row>
    <row r="6" spans="1:11">
      <c r="B6" s="23" t="s">
        <v>91</v>
      </c>
      <c r="C6" s="23" t="s">
        <v>88</v>
      </c>
      <c r="D6" s="23" t="s">
        <v>84</v>
      </c>
      <c r="E6" s="23" t="s">
        <v>85</v>
      </c>
      <c r="F6" s="50">
        <v>2</v>
      </c>
      <c r="H6" s="39"/>
    </row>
    <row r="7" spans="1:11">
      <c r="B7" s="23" t="s">
        <v>92</v>
      </c>
      <c r="C7" s="23" t="s">
        <v>5</v>
      </c>
      <c r="D7" s="23" t="s">
        <v>84</v>
      </c>
      <c r="E7" s="23" t="s">
        <v>85</v>
      </c>
      <c r="F7" s="50">
        <v>6</v>
      </c>
      <c r="H7" s="39"/>
    </row>
    <row r="8" spans="1:11">
      <c r="B8" s="23" t="s">
        <v>93</v>
      </c>
      <c r="C8" s="23" t="s">
        <v>5</v>
      </c>
      <c r="D8" s="23" t="s">
        <v>84</v>
      </c>
      <c r="E8" s="23" t="s">
        <v>85</v>
      </c>
      <c r="F8" s="50">
        <v>10</v>
      </c>
      <c r="H8" s="39"/>
      <c r="K8" s="39"/>
    </row>
    <row r="9" spans="1:11">
      <c r="B9" s="23" t="s">
        <v>94</v>
      </c>
      <c r="C9" s="23" t="s">
        <v>5</v>
      </c>
      <c r="D9" s="23" t="s">
        <v>95</v>
      </c>
      <c r="E9" s="23" t="s">
        <v>85</v>
      </c>
      <c r="F9" s="50">
        <v>4</v>
      </c>
      <c r="H9" s="39"/>
    </row>
    <row r="10" spans="1:11">
      <c r="B10" s="23" t="s">
        <v>96</v>
      </c>
      <c r="C10" s="23" t="s">
        <v>5</v>
      </c>
      <c r="D10" s="23" t="s">
        <v>84</v>
      </c>
      <c r="E10" s="23" t="s">
        <v>85</v>
      </c>
      <c r="F10" s="50">
        <v>6</v>
      </c>
      <c r="H10" s="39"/>
    </row>
    <row r="11" spans="1:11">
      <c r="B11" s="23" t="s">
        <v>97</v>
      </c>
      <c r="C11" s="23" t="s">
        <v>5</v>
      </c>
      <c r="D11" s="23" t="s">
        <v>84</v>
      </c>
      <c r="E11" s="23" t="s">
        <v>85</v>
      </c>
      <c r="F11" s="50">
        <v>12</v>
      </c>
      <c r="H11" s="39"/>
      <c r="K11" s="136"/>
    </row>
    <row r="12" spans="1:11">
      <c r="A12" s="24"/>
      <c r="B12" s="23" t="s">
        <v>98</v>
      </c>
      <c r="C12" s="23" t="s">
        <v>5</v>
      </c>
      <c r="D12" s="23" t="s">
        <v>99</v>
      </c>
      <c r="E12" s="23" t="s">
        <v>85</v>
      </c>
      <c r="F12" s="50">
        <v>4</v>
      </c>
      <c r="H12" s="39"/>
      <c r="J12" s="43"/>
    </row>
    <row r="13" spans="1:11">
      <c r="B13" s="23" t="s">
        <v>100</v>
      </c>
      <c r="C13" s="23" t="s">
        <v>5</v>
      </c>
      <c r="D13" s="23" t="s">
        <v>84</v>
      </c>
      <c r="E13" s="23" t="s">
        <v>85</v>
      </c>
      <c r="F13" s="50">
        <v>6</v>
      </c>
      <c r="H13" s="39"/>
      <c r="K13" s="129"/>
    </row>
    <row r="14" spans="1:11">
      <c r="B14" s="23" t="s">
        <v>101</v>
      </c>
      <c r="C14" s="23" t="s">
        <v>5</v>
      </c>
      <c r="D14" s="23" t="s">
        <v>84</v>
      </c>
      <c r="E14" s="23" t="s">
        <v>85</v>
      </c>
      <c r="F14" s="50">
        <v>12</v>
      </c>
      <c r="H14" s="39"/>
    </row>
    <row r="15" spans="1:11">
      <c r="B15" s="23" t="s">
        <v>102</v>
      </c>
      <c r="C15" s="23" t="s">
        <v>5</v>
      </c>
      <c r="D15" s="23" t="s">
        <v>99</v>
      </c>
      <c r="E15" s="23" t="s">
        <v>85</v>
      </c>
      <c r="F15" s="50">
        <v>4</v>
      </c>
      <c r="H15" s="39"/>
    </row>
    <row r="16" spans="1:11">
      <c r="B16" s="23" t="s">
        <v>103</v>
      </c>
      <c r="C16" s="23" t="s">
        <v>5</v>
      </c>
      <c r="D16" s="23" t="s">
        <v>84</v>
      </c>
      <c r="E16" s="23" t="s">
        <v>85</v>
      </c>
      <c r="F16" s="50">
        <v>6</v>
      </c>
      <c r="H16" s="39"/>
    </row>
    <row r="17" spans="1:11">
      <c r="B17" s="23" t="s">
        <v>104</v>
      </c>
      <c r="C17" s="23" t="s">
        <v>5</v>
      </c>
      <c r="D17" s="23" t="s">
        <v>84</v>
      </c>
      <c r="E17" s="23" t="s">
        <v>85</v>
      </c>
      <c r="F17" s="50">
        <v>12</v>
      </c>
      <c r="H17" s="39"/>
    </row>
    <row r="18" spans="1:11">
      <c r="B18" s="23" t="s">
        <v>105</v>
      </c>
      <c r="C18" s="23" t="s">
        <v>5</v>
      </c>
      <c r="D18" s="23" t="s">
        <v>99</v>
      </c>
      <c r="E18" s="23" t="s">
        <v>85</v>
      </c>
      <c r="F18" s="50">
        <v>4</v>
      </c>
      <c r="H18" s="39"/>
    </row>
    <row r="19" spans="1:11">
      <c r="B19" s="23" t="s">
        <v>106</v>
      </c>
      <c r="C19" s="23" t="s">
        <v>5</v>
      </c>
      <c r="D19" s="23" t="s">
        <v>84</v>
      </c>
      <c r="E19" s="23" t="s">
        <v>85</v>
      </c>
      <c r="F19" s="50">
        <v>4</v>
      </c>
      <c r="H19" s="39"/>
    </row>
    <row r="20" spans="1:11">
      <c r="B20" s="23" t="s">
        <v>107</v>
      </c>
      <c r="C20" s="23" t="s">
        <v>5</v>
      </c>
      <c r="D20" s="23" t="s">
        <v>84</v>
      </c>
      <c r="E20" s="23" t="s">
        <v>85</v>
      </c>
      <c r="F20" s="50">
        <v>8</v>
      </c>
      <c r="H20" s="39"/>
    </row>
    <row r="21" spans="1:11">
      <c r="B21" s="23" t="s">
        <v>108</v>
      </c>
      <c r="C21" s="23" t="s">
        <v>5</v>
      </c>
      <c r="D21" s="23" t="s">
        <v>99</v>
      </c>
      <c r="E21" s="23" t="s">
        <v>85</v>
      </c>
      <c r="F21" s="50">
        <v>2</v>
      </c>
      <c r="H21" s="39"/>
    </row>
    <row r="22" spans="1:11">
      <c r="B22" s="23" t="s">
        <v>109</v>
      </c>
      <c r="C22" s="23" t="s">
        <v>88</v>
      </c>
      <c r="D22" s="23" t="s">
        <v>99</v>
      </c>
      <c r="E22" s="23" t="s">
        <v>85</v>
      </c>
      <c r="F22" s="50">
        <v>12</v>
      </c>
      <c r="H22" s="39"/>
    </row>
    <row r="23" spans="1:11">
      <c r="B23" s="23" t="s">
        <v>110</v>
      </c>
      <c r="C23" s="23" t="s">
        <v>111</v>
      </c>
      <c r="D23" s="23" t="s">
        <v>95</v>
      </c>
      <c r="E23" s="23" t="s">
        <v>85</v>
      </c>
      <c r="F23" s="50">
        <v>12</v>
      </c>
      <c r="H23" s="39"/>
    </row>
    <row r="24" spans="1:11">
      <c r="B24" s="23" t="s">
        <v>112</v>
      </c>
      <c r="C24" s="23" t="s">
        <v>8</v>
      </c>
      <c r="D24" s="23" t="s">
        <v>84</v>
      </c>
      <c r="E24" s="23" t="s">
        <v>85</v>
      </c>
      <c r="F24" s="50">
        <v>12</v>
      </c>
      <c r="H24" s="39"/>
    </row>
    <row r="25" spans="1:11">
      <c r="B25" s="23" t="s">
        <v>92</v>
      </c>
      <c r="C25" s="23" t="s">
        <v>111</v>
      </c>
      <c r="D25" s="23" t="s">
        <v>95</v>
      </c>
      <c r="E25" s="23" t="s">
        <v>85</v>
      </c>
      <c r="F25" s="50">
        <v>6</v>
      </c>
      <c r="H25" s="39"/>
    </row>
    <row r="26" spans="1:11">
      <c r="B26" s="23" t="s">
        <v>93</v>
      </c>
      <c r="C26" s="23" t="s">
        <v>111</v>
      </c>
      <c r="D26" s="23" t="s">
        <v>95</v>
      </c>
      <c r="E26" s="23" t="s">
        <v>85</v>
      </c>
      <c r="F26" s="50">
        <v>6</v>
      </c>
      <c r="H26" s="39"/>
    </row>
    <row r="27" spans="1:11">
      <c r="B27" s="23" t="s">
        <v>113</v>
      </c>
      <c r="C27" s="23" t="s">
        <v>8</v>
      </c>
      <c r="D27" s="23" t="s">
        <v>95</v>
      </c>
      <c r="E27" s="23" t="s">
        <v>85</v>
      </c>
      <c r="F27" s="50">
        <v>4</v>
      </c>
      <c r="H27" s="39"/>
    </row>
    <row r="28" spans="1:11">
      <c r="B28" s="23" t="s">
        <v>114</v>
      </c>
      <c r="C28" s="23" t="s">
        <v>8</v>
      </c>
      <c r="D28" s="23" t="s">
        <v>95</v>
      </c>
      <c r="E28" s="23" t="s">
        <v>85</v>
      </c>
      <c r="F28" s="50">
        <v>4</v>
      </c>
      <c r="H28" s="39"/>
    </row>
    <row r="29" spans="1:11">
      <c r="B29" s="23" t="s">
        <v>115</v>
      </c>
      <c r="C29" s="23" t="s">
        <v>8</v>
      </c>
      <c r="D29" s="23" t="s">
        <v>99</v>
      </c>
      <c r="E29" s="23" t="s">
        <v>85</v>
      </c>
      <c r="F29" s="50">
        <v>2</v>
      </c>
      <c r="H29" s="39"/>
    </row>
    <row r="30" spans="1:11">
      <c r="B30" s="23" t="s">
        <v>116</v>
      </c>
      <c r="C30" s="23" t="s">
        <v>8</v>
      </c>
      <c r="D30" s="23" t="s">
        <v>84</v>
      </c>
      <c r="E30" s="23" t="s">
        <v>85</v>
      </c>
      <c r="F30" s="50">
        <v>12</v>
      </c>
      <c r="H30" s="39"/>
    </row>
    <row r="31" spans="1:11">
      <c r="A31" s="24"/>
      <c r="B31" s="23" t="s">
        <v>117</v>
      </c>
      <c r="C31" s="23" t="s">
        <v>8</v>
      </c>
      <c r="D31" s="23" t="s">
        <v>99</v>
      </c>
      <c r="E31" s="23" t="s">
        <v>85</v>
      </c>
      <c r="F31" s="50">
        <v>6</v>
      </c>
      <c r="H31" s="39"/>
      <c r="K31" s="43"/>
    </row>
    <row r="32" spans="1:11">
      <c r="B32" s="23" t="s">
        <v>118</v>
      </c>
      <c r="C32" s="23" t="s">
        <v>111</v>
      </c>
      <c r="D32" s="23" t="s">
        <v>95</v>
      </c>
      <c r="E32" s="23" t="s">
        <v>85</v>
      </c>
      <c r="F32" s="50">
        <v>8</v>
      </c>
      <c r="H32" s="39"/>
    </row>
    <row r="33" spans="2:8">
      <c r="B33" s="23" t="s">
        <v>119</v>
      </c>
      <c r="C33" s="23" t="s">
        <v>10</v>
      </c>
      <c r="D33" s="23" t="s">
        <v>84</v>
      </c>
      <c r="E33" s="23" t="s">
        <v>85</v>
      </c>
      <c r="F33" s="50">
        <v>4</v>
      </c>
      <c r="H33" s="39"/>
    </row>
    <row r="34" spans="2:8">
      <c r="B34" s="23" t="s">
        <v>120</v>
      </c>
      <c r="C34" s="23" t="s">
        <v>10</v>
      </c>
      <c r="D34" s="23" t="s">
        <v>84</v>
      </c>
      <c r="E34" s="23" t="s">
        <v>85</v>
      </c>
      <c r="F34" s="50">
        <v>4</v>
      </c>
      <c r="H34" s="39"/>
    </row>
    <row r="35" spans="2:8">
      <c r="B35" s="23" t="s">
        <v>121</v>
      </c>
      <c r="C35" s="23" t="s">
        <v>10</v>
      </c>
      <c r="D35" s="23" t="s">
        <v>95</v>
      </c>
      <c r="E35" s="23" t="s">
        <v>85</v>
      </c>
      <c r="F35" s="50">
        <v>4</v>
      </c>
      <c r="H35" s="39"/>
    </row>
    <row r="36" spans="2:8">
      <c r="B36" s="23" t="s">
        <v>122</v>
      </c>
      <c r="C36" s="23" t="s">
        <v>111</v>
      </c>
      <c r="D36" s="23" t="s">
        <v>99</v>
      </c>
      <c r="E36" s="23" t="s">
        <v>85</v>
      </c>
      <c r="F36" s="50">
        <v>4</v>
      </c>
      <c r="H36" s="39"/>
    </row>
    <row r="37" spans="2:8">
      <c r="B37" s="23" t="s">
        <v>123</v>
      </c>
      <c r="C37" s="23" t="s">
        <v>111</v>
      </c>
      <c r="D37" s="23" t="s">
        <v>99</v>
      </c>
      <c r="E37" s="23" t="s">
        <v>85</v>
      </c>
      <c r="F37" s="50">
        <v>4</v>
      </c>
      <c r="H37" s="39"/>
    </row>
    <row r="38" spans="2:8">
      <c r="B38" s="23" t="s">
        <v>124</v>
      </c>
      <c r="D38" s="23" t="s">
        <v>99</v>
      </c>
      <c r="E38" s="23" t="s">
        <v>125</v>
      </c>
      <c r="H38" s="39"/>
    </row>
    <row r="39" spans="2:8">
      <c r="B39" s="23" t="s">
        <v>126</v>
      </c>
      <c r="D39" s="23" t="s">
        <v>99</v>
      </c>
      <c r="E39" s="23" t="s">
        <v>125</v>
      </c>
      <c r="H39" s="39"/>
    </row>
    <row r="40" spans="2:8">
      <c r="B40" s="23" t="s">
        <v>127</v>
      </c>
      <c r="D40" s="23" t="s">
        <v>99</v>
      </c>
      <c r="E40" s="23" t="s">
        <v>125</v>
      </c>
      <c r="H40" s="39"/>
    </row>
    <row r="41" spans="2:8">
      <c r="B41" s="23" t="s">
        <v>31</v>
      </c>
      <c r="D41" s="23" t="s">
        <v>84</v>
      </c>
      <c r="E41" s="23" t="s">
        <v>128</v>
      </c>
      <c r="F41" s="50">
        <v>2</v>
      </c>
      <c r="H41" s="39"/>
    </row>
    <row r="42" spans="2:8">
      <c r="H42" s="39"/>
    </row>
    <row r="43" spans="2:8">
      <c r="H43" s="39"/>
    </row>
    <row r="44" spans="2:8">
      <c r="H44" s="39"/>
    </row>
    <row r="45" spans="2:8">
      <c r="H45" s="39"/>
    </row>
    <row r="46" spans="2:8">
      <c r="H46" s="39"/>
    </row>
    <row r="47" spans="2:8">
      <c r="H47" s="39"/>
    </row>
    <row r="48" spans="2:8">
      <c r="H48" s="39"/>
    </row>
    <row r="49" spans="1:11">
      <c r="H49" s="39"/>
    </row>
    <row r="50" spans="1:11">
      <c r="H50" s="39"/>
    </row>
    <row r="51" spans="1:11">
      <c r="H51" s="39"/>
    </row>
    <row r="52" spans="1:11">
      <c r="H52" s="39"/>
    </row>
    <row r="53" spans="1:11">
      <c r="H53" s="39"/>
    </row>
    <row r="54" spans="1:11">
      <c r="H54" s="39"/>
    </row>
    <row r="55" spans="1:11">
      <c r="H55" s="39"/>
    </row>
    <row r="56" spans="1:11">
      <c r="H56" s="39"/>
    </row>
    <row r="57" spans="1:11">
      <c r="H57" s="39"/>
    </row>
    <row r="58" spans="1:11">
      <c r="H58" s="39"/>
    </row>
    <row r="59" spans="1:11">
      <c r="H59" s="39"/>
    </row>
    <row r="60" spans="1:11">
      <c r="H60" s="39"/>
    </row>
    <row r="61" spans="1:11">
      <c r="H61" s="39"/>
    </row>
    <row r="62" spans="1:11">
      <c r="H62" s="39"/>
    </row>
    <row r="63" spans="1:11">
      <c r="H63" s="39"/>
    </row>
    <row r="64" spans="1:11">
      <c r="A64" s="44"/>
      <c r="B64" s="44"/>
      <c r="C64" s="44"/>
      <c r="D64" s="44"/>
      <c r="E64" s="44"/>
      <c r="F64" s="87"/>
      <c r="G64" s="44"/>
      <c r="H64" s="39"/>
      <c r="I64" s="44"/>
      <c r="J64" s="44"/>
      <c r="K64" s="44"/>
    </row>
    <row r="65" spans="1:11" s="128" customFormat="1">
      <c r="A65" s="24"/>
      <c r="B65" s="23"/>
      <c r="C65" s="23"/>
      <c r="D65" s="23"/>
      <c r="E65" s="23"/>
      <c r="F65" s="50"/>
      <c r="G65" s="23"/>
      <c r="H65" s="39"/>
      <c r="I65" s="23"/>
      <c r="J65" s="23"/>
      <c r="K65" s="43"/>
    </row>
    <row r="66" spans="1:11" s="128" customFormat="1">
      <c r="A66" s="24"/>
      <c r="B66" s="23"/>
      <c r="C66" s="23"/>
      <c r="D66" s="23"/>
      <c r="E66" s="23"/>
      <c r="F66" s="50"/>
      <c r="G66" s="23"/>
      <c r="H66" s="39"/>
      <c r="I66" s="23"/>
      <c r="J66" s="23"/>
      <c r="K66" s="43"/>
    </row>
    <row r="67" spans="1:11" s="128" customFormat="1">
      <c r="A67" s="24"/>
      <c r="B67" s="23"/>
      <c r="C67" s="23"/>
      <c r="D67" s="23"/>
      <c r="E67" s="23"/>
      <c r="F67" s="50"/>
      <c r="G67" s="23"/>
      <c r="H67" s="39"/>
      <c r="I67" s="23"/>
      <c r="J67" s="23"/>
      <c r="K67" s="43"/>
    </row>
    <row r="68" spans="1:11" s="128" customFormat="1">
      <c r="A68" s="24"/>
      <c r="B68" s="23"/>
      <c r="C68" s="23"/>
      <c r="D68" s="23"/>
      <c r="E68" s="23"/>
      <c r="F68" s="50"/>
      <c r="G68" s="23"/>
      <c r="H68" s="39"/>
      <c r="I68" s="23"/>
      <c r="J68" s="23"/>
      <c r="K68" s="43"/>
    </row>
    <row r="69" spans="1:11" s="128" customFormat="1">
      <c r="A69" s="24"/>
      <c r="B69" s="23"/>
      <c r="C69" s="23"/>
      <c r="D69" s="23"/>
      <c r="E69" s="23"/>
      <c r="F69" s="50"/>
      <c r="G69" s="23"/>
      <c r="H69" s="39"/>
      <c r="I69" s="23"/>
      <c r="J69" s="23"/>
      <c r="K69" s="43"/>
    </row>
    <row r="70" spans="1:11" s="128" customFormat="1">
      <c r="A70" s="24"/>
      <c r="B70" s="23"/>
      <c r="C70" s="23"/>
      <c r="D70" s="23"/>
      <c r="E70" s="23"/>
      <c r="F70" s="50"/>
      <c r="G70" s="23"/>
      <c r="H70" s="39"/>
      <c r="I70" s="23"/>
      <c r="J70" s="23"/>
      <c r="K70" s="43"/>
    </row>
    <row r="71" spans="1:11" s="128" customFormat="1">
      <c r="A71" s="24"/>
      <c r="B71" s="23"/>
      <c r="C71" s="23"/>
      <c r="D71" s="23"/>
      <c r="E71" s="23"/>
      <c r="F71" s="50"/>
      <c r="G71" s="23"/>
      <c r="H71" s="39"/>
      <c r="I71" s="23"/>
      <c r="J71" s="23"/>
      <c r="K71" s="43"/>
    </row>
    <row r="72" spans="1:11" s="128" customFormat="1">
      <c r="A72" s="24"/>
      <c r="B72" s="23"/>
      <c r="C72" s="23"/>
      <c r="D72" s="23"/>
      <c r="E72" s="23"/>
      <c r="F72" s="50"/>
      <c r="G72" s="23"/>
      <c r="H72" s="39"/>
      <c r="I72" s="23"/>
      <c r="J72" s="23"/>
      <c r="K72" s="43"/>
    </row>
    <row r="73" spans="1:11" s="128" customFormat="1">
      <c r="A73" s="24"/>
      <c r="B73" s="23"/>
      <c r="C73" s="23"/>
      <c r="D73" s="23"/>
      <c r="E73" s="23"/>
      <c r="F73" s="50"/>
      <c r="G73" s="23"/>
      <c r="H73" s="39"/>
      <c r="I73" s="23"/>
      <c r="J73" s="23"/>
      <c r="K73" s="43"/>
    </row>
    <row r="74" spans="1:11" s="128" customFormat="1">
      <c r="A74" s="24"/>
      <c r="B74" s="23"/>
      <c r="C74" s="23"/>
      <c r="D74" s="23"/>
      <c r="E74" s="23"/>
      <c r="F74" s="50"/>
      <c r="G74" s="23"/>
      <c r="H74" s="39"/>
      <c r="I74" s="23"/>
      <c r="J74" s="23"/>
      <c r="K74" s="43"/>
    </row>
    <row r="75" spans="1:11" s="128" customFormat="1">
      <c r="F75" s="76"/>
    </row>
    <row r="76" spans="1:11" s="128" customFormat="1">
      <c r="F76" s="76"/>
    </row>
    <row r="77" spans="1:11" s="128" customFormat="1">
      <c r="F77" s="76"/>
    </row>
    <row r="78" spans="1:11" s="128" customFormat="1">
      <c r="F78" s="76"/>
    </row>
    <row r="79" spans="1:11" s="128" customFormat="1">
      <c r="F79" s="76"/>
    </row>
    <row r="80" spans="1:11" s="128" customFormat="1">
      <c r="F80" s="76"/>
    </row>
    <row r="81" spans="6:6" s="128" customFormat="1">
      <c r="F81" s="76"/>
    </row>
    <row r="82" spans="6:6" s="128" customFormat="1">
      <c r="F82" s="76"/>
    </row>
    <row r="83" spans="6:6" s="128" customFormat="1">
      <c r="F83" s="76"/>
    </row>
    <row r="84" spans="6:6" s="128" customFormat="1">
      <c r="F84" s="76"/>
    </row>
    <row r="85" spans="6:6" s="128" customFormat="1">
      <c r="F85" s="76"/>
    </row>
    <row r="86" spans="6:6" s="128" customFormat="1">
      <c r="F86" s="76"/>
    </row>
    <row r="87" spans="6:6" s="128" customFormat="1">
      <c r="F87" s="76"/>
    </row>
    <row r="88" spans="6:6" s="128" customFormat="1">
      <c r="F88" s="76"/>
    </row>
    <row r="89" spans="6:6" s="128" customFormat="1">
      <c r="F89" s="76"/>
    </row>
    <row r="90" spans="6:6" s="128" customFormat="1">
      <c r="F90" s="76"/>
    </row>
    <row r="91" spans="6:6" s="128" customFormat="1">
      <c r="F91" s="76"/>
    </row>
    <row r="92" spans="6:6" s="128" customFormat="1">
      <c r="F92" s="76"/>
    </row>
    <row r="93" spans="6:6" s="128" customFormat="1">
      <c r="F93" s="76"/>
    </row>
    <row r="94" spans="6:6" s="128" customFormat="1">
      <c r="F94" s="76"/>
    </row>
    <row r="95" spans="6:6" s="128" customFormat="1">
      <c r="F95" s="76"/>
    </row>
    <row r="96" spans="6:6" s="128" customFormat="1">
      <c r="F96" s="76"/>
    </row>
    <row r="97" spans="6:6" s="128" customFormat="1">
      <c r="F97" s="76"/>
    </row>
    <row r="98" spans="6:6" s="128" customFormat="1">
      <c r="F98" s="76"/>
    </row>
    <row r="99" spans="6:6" s="128" customFormat="1">
      <c r="F99" s="76"/>
    </row>
    <row r="100" spans="6:6" s="128" customFormat="1">
      <c r="F100" s="76"/>
    </row>
    <row r="101" spans="6:6" s="128" customFormat="1">
      <c r="F101" s="76"/>
    </row>
    <row r="102" spans="6:6" s="128" customFormat="1">
      <c r="F102" s="76"/>
    </row>
    <row r="103" spans="6:6" s="128" customFormat="1">
      <c r="F103" s="76"/>
    </row>
    <row r="104" spans="6:6" s="128" customFormat="1">
      <c r="F104" s="76"/>
    </row>
    <row r="105" spans="6:6" s="128" customFormat="1">
      <c r="F105" s="76"/>
    </row>
    <row r="106" spans="6:6" s="128" customFormat="1">
      <c r="F106" s="76"/>
    </row>
    <row r="107" spans="6:6" s="128" customFormat="1">
      <c r="F107" s="76"/>
    </row>
    <row r="108" spans="6:6" s="128" customFormat="1">
      <c r="F108" s="76"/>
    </row>
    <row r="109" spans="6:6" s="128" customFormat="1">
      <c r="F109" s="76"/>
    </row>
    <row r="110" spans="6:6" s="128" customFormat="1">
      <c r="F110" s="76"/>
    </row>
    <row r="111" spans="6:6" s="128" customFormat="1">
      <c r="F111" s="76"/>
    </row>
    <row r="112" spans="6:6" s="128" customFormat="1">
      <c r="F112" s="76"/>
    </row>
    <row r="113" spans="6:6" s="128" customFormat="1">
      <c r="F113" s="76"/>
    </row>
    <row r="114" spans="6:6" s="128" customFormat="1">
      <c r="F114" s="76"/>
    </row>
    <row r="115" spans="6:6" s="128" customFormat="1">
      <c r="F115" s="76"/>
    </row>
    <row r="116" spans="6:6" s="128" customFormat="1">
      <c r="F116" s="76"/>
    </row>
    <row r="117" spans="6:6" s="128" customFormat="1">
      <c r="F117" s="76"/>
    </row>
    <row r="118" spans="6:6" s="128" customFormat="1">
      <c r="F118" s="76"/>
    </row>
    <row r="119" spans="6:6" s="128" customFormat="1">
      <c r="F119" s="76"/>
    </row>
    <row r="120" spans="6:6" s="128" customFormat="1">
      <c r="F120" s="76"/>
    </row>
    <row r="121" spans="6:6" s="128" customFormat="1">
      <c r="F121" s="76"/>
    </row>
    <row r="122" spans="6:6" s="128" customFormat="1">
      <c r="F122" s="76"/>
    </row>
    <row r="123" spans="6:6" s="128" customFormat="1">
      <c r="F123" s="76"/>
    </row>
    <row r="124" spans="6:6" s="128" customFormat="1">
      <c r="F124" s="76"/>
    </row>
    <row r="125" spans="6:6" s="128" customFormat="1">
      <c r="F125" s="76"/>
    </row>
    <row r="126" spans="6:6" s="128" customFormat="1">
      <c r="F126" s="76"/>
    </row>
    <row r="127" spans="6:6" s="128" customFormat="1">
      <c r="F127" s="76"/>
    </row>
    <row r="128" spans="6:6" s="128" customFormat="1">
      <c r="F128" s="76"/>
    </row>
    <row r="129" spans="6:6" s="128" customFormat="1">
      <c r="F129" s="76"/>
    </row>
    <row r="130" spans="6:6" s="128" customFormat="1">
      <c r="F130" s="76"/>
    </row>
    <row r="131" spans="6:6" s="128" customFormat="1">
      <c r="F131" s="76"/>
    </row>
    <row r="132" spans="6:6" s="128" customFormat="1">
      <c r="F132" s="76"/>
    </row>
    <row r="133" spans="6:6" s="128" customFormat="1">
      <c r="F133" s="76"/>
    </row>
    <row r="134" spans="6:6" s="128" customFormat="1">
      <c r="F134" s="76"/>
    </row>
    <row r="135" spans="6:6" s="128" customFormat="1">
      <c r="F135" s="76"/>
    </row>
    <row r="136" spans="6:6" s="128" customFormat="1">
      <c r="F136" s="76"/>
    </row>
    <row r="137" spans="6:6" s="128" customFormat="1">
      <c r="F137" s="76"/>
    </row>
    <row r="138" spans="6:6" s="128" customFormat="1">
      <c r="F138" s="76"/>
    </row>
    <row r="139" spans="6:6" s="128" customFormat="1">
      <c r="F139" s="76"/>
    </row>
    <row r="140" spans="6:6" s="128" customFormat="1">
      <c r="F140" s="76"/>
    </row>
    <row r="141" spans="6:6" s="128" customFormat="1">
      <c r="F141" s="76"/>
    </row>
    <row r="142" spans="6:6" s="128" customFormat="1">
      <c r="F142" s="76"/>
    </row>
    <row r="143" spans="6:6" s="128" customFormat="1">
      <c r="F143" s="76"/>
    </row>
    <row r="144" spans="6:6" s="128" customFormat="1">
      <c r="F144" s="76"/>
    </row>
    <row r="145" spans="6:6" s="128" customFormat="1">
      <c r="F145" s="76"/>
    </row>
    <row r="146" spans="6:6" s="128" customFormat="1">
      <c r="F146" s="76"/>
    </row>
    <row r="147" spans="6:6" s="128" customFormat="1">
      <c r="F147" s="76"/>
    </row>
    <row r="148" spans="6:6" s="128" customFormat="1">
      <c r="F148" s="76"/>
    </row>
    <row r="149" spans="6:6" s="128" customFormat="1">
      <c r="F149" s="76"/>
    </row>
    <row r="150" spans="6:6" s="128" customFormat="1">
      <c r="F150" s="76"/>
    </row>
    <row r="151" spans="6:6" s="128" customFormat="1">
      <c r="F151" s="76"/>
    </row>
    <row r="152" spans="6:6" s="128" customFormat="1">
      <c r="F152" s="76"/>
    </row>
    <row r="153" spans="6:6" s="128" customFormat="1">
      <c r="F153" s="76"/>
    </row>
    <row r="154" spans="6:6" s="128" customFormat="1">
      <c r="F154" s="76"/>
    </row>
    <row r="155" spans="6:6" s="128" customFormat="1">
      <c r="F155" s="76"/>
    </row>
    <row r="156" spans="6:6" s="128" customFormat="1">
      <c r="F156" s="76"/>
    </row>
    <row r="157" spans="6:6" s="128" customFormat="1">
      <c r="F157" s="76"/>
    </row>
    <row r="158" spans="6:6" s="128" customFormat="1">
      <c r="F158" s="76"/>
    </row>
    <row r="159" spans="6:6" s="128" customFormat="1">
      <c r="F159" s="76"/>
    </row>
    <row r="160" spans="6:6" s="128" customFormat="1">
      <c r="F160" s="76"/>
    </row>
    <row r="161" spans="6:6" s="128" customFormat="1">
      <c r="F161" s="76"/>
    </row>
    <row r="162" spans="6:6" s="128" customFormat="1">
      <c r="F162" s="76"/>
    </row>
    <row r="163" spans="6:6" s="128" customFormat="1">
      <c r="F163" s="76"/>
    </row>
    <row r="164" spans="6:6" s="128" customFormat="1">
      <c r="F164" s="76"/>
    </row>
    <row r="165" spans="6:6" s="128" customFormat="1">
      <c r="F165" s="76"/>
    </row>
    <row r="166" spans="6:6" s="128" customFormat="1">
      <c r="F166" s="76"/>
    </row>
    <row r="167" spans="6:6" s="128" customFormat="1">
      <c r="F167" s="76"/>
    </row>
    <row r="168" spans="6:6" s="128" customFormat="1">
      <c r="F168" s="76"/>
    </row>
    <row r="169" spans="6:6" s="128" customFormat="1">
      <c r="F169" s="76"/>
    </row>
    <row r="170" spans="6:6" s="128" customFormat="1">
      <c r="F170" s="76"/>
    </row>
    <row r="171" spans="6:6" s="128" customFormat="1">
      <c r="F171" s="76"/>
    </row>
    <row r="172" spans="6:6" s="128" customFormat="1">
      <c r="F172" s="76"/>
    </row>
    <row r="173" spans="6:6" s="128" customFormat="1">
      <c r="F173" s="76"/>
    </row>
    <row r="174" spans="6:6" s="128" customFormat="1">
      <c r="F174" s="76"/>
    </row>
    <row r="175" spans="6:6" s="128" customFormat="1">
      <c r="F175" s="76"/>
    </row>
    <row r="176" spans="6:6" s="128" customFormat="1">
      <c r="F176" s="76"/>
    </row>
    <row r="177" spans="6:6" s="128" customFormat="1">
      <c r="F177" s="76"/>
    </row>
    <row r="178" spans="6:6" s="128" customFormat="1">
      <c r="F178" s="76"/>
    </row>
    <row r="179" spans="6:6" s="128" customFormat="1">
      <c r="F179" s="76"/>
    </row>
    <row r="180" spans="6:6" s="128" customFormat="1">
      <c r="F180" s="76"/>
    </row>
    <row r="181" spans="6:6" s="128" customFormat="1">
      <c r="F181" s="76"/>
    </row>
    <row r="182" spans="6:6" s="128" customFormat="1">
      <c r="F182" s="76"/>
    </row>
    <row r="183" spans="6:6" s="128" customFormat="1">
      <c r="F183" s="76"/>
    </row>
    <row r="184" spans="6:6" s="128" customFormat="1">
      <c r="F184" s="76"/>
    </row>
    <row r="185" spans="6:6" s="128" customFormat="1">
      <c r="F185" s="76"/>
    </row>
    <row r="186" spans="6:6" s="128" customFormat="1">
      <c r="F186" s="76"/>
    </row>
    <row r="187" spans="6:6" s="128" customFormat="1">
      <c r="F187" s="76"/>
    </row>
    <row r="188" spans="6:6" s="128" customFormat="1">
      <c r="F188" s="76"/>
    </row>
    <row r="189" spans="6:6" s="128" customFormat="1">
      <c r="F189" s="76"/>
    </row>
    <row r="190" spans="6:6" s="128" customFormat="1">
      <c r="F190" s="76"/>
    </row>
    <row r="191" spans="6:6" s="128" customFormat="1">
      <c r="F191" s="76"/>
    </row>
    <row r="192" spans="6:6" s="128" customFormat="1">
      <c r="F192" s="76"/>
    </row>
    <row r="193" spans="6:6" s="128" customFormat="1">
      <c r="F193" s="76"/>
    </row>
    <row r="194" spans="6:6" s="128" customFormat="1">
      <c r="F194" s="76"/>
    </row>
    <row r="195" spans="6:6" s="128" customFormat="1">
      <c r="F195" s="76"/>
    </row>
    <row r="196" spans="6:6" s="128" customFormat="1">
      <c r="F196" s="76"/>
    </row>
    <row r="197" spans="6:6" s="128" customFormat="1">
      <c r="F197" s="76"/>
    </row>
    <row r="198" spans="6:6" s="128" customFormat="1">
      <c r="F198" s="76"/>
    </row>
    <row r="199" spans="6:6" s="128" customFormat="1">
      <c r="F199" s="76"/>
    </row>
    <row r="200" spans="6:6" s="128" customFormat="1">
      <c r="F200" s="76"/>
    </row>
    <row r="201" spans="6:6" s="128" customFormat="1">
      <c r="F201" s="76"/>
    </row>
    <row r="202" spans="6:6" s="128" customFormat="1">
      <c r="F202" s="76"/>
    </row>
    <row r="203" spans="6:6" s="128" customFormat="1">
      <c r="F203" s="76"/>
    </row>
    <row r="204" spans="6:6" s="128" customFormat="1">
      <c r="F204" s="76"/>
    </row>
    <row r="205" spans="6:6" s="128" customFormat="1">
      <c r="F205" s="76"/>
    </row>
    <row r="206" spans="6:6" s="128" customFormat="1">
      <c r="F206" s="76"/>
    </row>
    <row r="207" spans="6:6" s="128" customFormat="1">
      <c r="F207" s="76"/>
    </row>
    <row r="208" spans="6:6" s="128" customFormat="1">
      <c r="F208" s="76"/>
    </row>
    <row r="209" spans="6:6" s="128" customFormat="1">
      <c r="F209" s="76"/>
    </row>
    <row r="210" spans="6:6" s="128" customFormat="1">
      <c r="F210" s="76"/>
    </row>
    <row r="211" spans="6:6" s="128" customFormat="1">
      <c r="F211" s="76"/>
    </row>
    <row r="212" spans="6:6" s="128" customFormat="1">
      <c r="F212" s="76"/>
    </row>
    <row r="213" spans="6:6" s="128" customFormat="1">
      <c r="F213" s="76"/>
    </row>
    <row r="214" spans="6:6" s="128" customFormat="1">
      <c r="F214" s="76"/>
    </row>
    <row r="215" spans="6:6" s="128" customFormat="1">
      <c r="F215" s="76"/>
    </row>
    <row r="216" spans="6:6" s="128" customFormat="1">
      <c r="F216" s="76"/>
    </row>
    <row r="217" spans="6:6" s="128" customFormat="1">
      <c r="F217" s="76"/>
    </row>
    <row r="218" spans="6:6" s="128" customFormat="1">
      <c r="F218" s="76"/>
    </row>
    <row r="219" spans="6:6" s="128" customFormat="1">
      <c r="F219" s="76"/>
    </row>
    <row r="220" spans="6:6" s="128" customFormat="1">
      <c r="F220" s="76"/>
    </row>
    <row r="221" spans="6:6" s="128" customFormat="1">
      <c r="F221" s="76"/>
    </row>
    <row r="222" spans="6:6" s="128" customFormat="1">
      <c r="F222" s="76"/>
    </row>
    <row r="223" spans="6:6" s="128" customFormat="1">
      <c r="F223" s="76"/>
    </row>
    <row r="224" spans="6:6" s="128" customFormat="1">
      <c r="F224" s="76"/>
    </row>
    <row r="225" spans="6:6" s="128" customFormat="1">
      <c r="F225" s="76"/>
    </row>
    <row r="226" spans="6:6" s="128" customFormat="1">
      <c r="F226" s="76"/>
    </row>
    <row r="227" spans="6:6" s="128" customFormat="1">
      <c r="F227" s="76"/>
    </row>
    <row r="228" spans="6:6" s="128" customFormat="1">
      <c r="F228" s="76"/>
    </row>
    <row r="229" spans="6:6" s="128" customFormat="1">
      <c r="F229" s="76"/>
    </row>
    <row r="230" spans="6:6" s="128" customFormat="1">
      <c r="F230" s="76"/>
    </row>
    <row r="231" spans="6:6" s="128" customFormat="1">
      <c r="F231" s="76"/>
    </row>
    <row r="232" spans="6:6" s="128" customFormat="1">
      <c r="F232" s="76"/>
    </row>
    <row r="233" spans="6:6" s="128" customFormat="1">
      <c r="F233" s="76"/>
    </row>
    <row r="234" spans="6:6" s="128" customFormat="1">
      <c r="F234" s="76"/>
    </row>
    <row r="235" spans="6:6" s="128" customFormat="1">
      <c r="F235" s="76"/>
    </row>
    <row r="236" spans="6:6" s="128" customFormat="1">
      <c r="F236" s="76"/>
    </row>
    <row r="237" spans="6:6" s="128" customFormat="1">
      <c r="F237" s="76"/>
    </row>
    <row r="238" spans="6:6" s="128" customFormat="1">
      <c r="F238" s="76"/>
    </row>
    <row r="239" spans="6:6" s="128" customFormat="1">
      <c r="F239" s="76"/>
    </row>
    <row r="240" spans="6:6" s="128" customFormat="1">
      <c r="F240" s="76"/>
    </row>
    <row r="241" spans="1:11" s="128" customFormat="1">
      <c r="F241" s="76"/>
    </row>
    <row r="242" spans="1:11" s="128" customFormat="1">
      <c r="F242" s="76"/>
    </row>
    <row r="243" spans="1:11" s="128" customFormat="1">
      <c r="F243" s="76"/>
    </row>
    <row r="244" spans="1:11" s="128" customFormat="1">
      <c r="F244" s="76"/>
    </row>
    <row r="245" spans="1:11" s="128" customFormat="1">
      <c r="F245" s="76"/>
    </row>
    <row r="246" spans="1:11" s="128" customFormat="1">
      <c r="F246" s="76"/>
    </row>
    <row r="247" spans="1:11" s="128" customFormat="1">
      <c r="F247" s="76"/>
    </row>
    <row r="248" spans="1:11" s="128" customFormat="1">
      <c r="F248" s="76"/>
    </row>
    <row r="249" spans="1:11" s="128" customFormat="1">
      <c r="F249" s="76"/>
    </row>
    <row r="250" spans="1:11" s="128" customFormat="1">
      <c r="F250" s="76"/>
    </row>
    <row r="251" spans="1:11" s="128" customFormat="1">
      <c r="F251" s="76"/>
    </row>
    <row r="252" spans="1:11" s="128" customFormat="1">
      <c r="F252" s="76"/>
    </row>
    <row r="253" spans="1:11" s="128" customFormat="1">
      <c r="F253" s="76"/>
    </row>
    <row r="254" spans="1:11">
      <c r="A254" s="128"/>
      <c r="B254" s="128"/>
      <c r="C254" s="128"/>
      <c r="D254" s="128"/>
      <c r="E254" s="128"/>
      <c r="F254" s="76"/>
      <c r="G254" s="128"/>
      <c r="H254" s="128"/>
      <c r="I254" s="128"/>
      <c r="J254" s="128"/>
      <c r="K254" s="128"/>
    </row>
    <row r="255" spans="1:11">
      <c r="A255" s="128"/>
      <c r="B255" s="128"/>
      <c r="C255" s="128"/>
      <c r="D255" s="128"/>
      <c r="E255" s="128"/>
      <c r="F255" s="76"/>
      <c r="G255" s="128"/>
      <c r="H255" s="128"/>
      <c r="I255" s="128"/>
      <c r="J255" s="128"/>
      <c r="K255" s="128"/>
    </row>
    <row r="256" spans="1:11">
      <c r="A256" s="128"/>
      <c r="B256" s="128"/>
      <c r="C256" s="128"/>
      <c r="D256" s="128"/>
      <c r="E256" s="128"/>
      <c r="F256" s="76"/>
      <c r="G256" s="128"/>
      <c r="H256" s="128"/>
      <c r="I256" s="128"/>
      <c r="J256" s="128"/>
      <c r="K256" s="128"/>
    </row>
    <row r="257" spans="1:11">
      <c r="A257" s="128"/>
      <c r="B257" s="128"/>
      <c r="C257" s="128"/>
      <c r="D257" s="128"/>
      <c r="E257" s="128"/>
      <c r="F257" s="76"/>
      <c r="G257" s="128"/>
      <c r="H257" s="128"/>
      <c r="I257" s="128"/>
      <c r="J257" s="128"/>
      <c r="K257" s="128"/>
    </row>
    <row r="258" spans="1:11">
      <c r="A258" s="128"/>
      <c r="B258" s="128"/>
      <c r="C258" s="128"/>
      <c r="D258" s="128"/>
      <c r="E258" s="128"/>
      <c r="F258" s="76"/>
      <c r="G258" s="128"/>
      <c r="H258" s="128"/>
      <c r="I258" s="128"/>
      <c r="J258" s="128"/>
      <c r="K258" s="128"/>
    </row>
    <row r="259" spans="1:11">
      <c r="A259" s="128"/>
      <c r="B259" s="128"/>
      <c r="C259" s="128"/>
      <c r="D259" s="128"/>
      <c r="E259" s="128"/>
      <c r="F259" s="76"/>
      <c r="G259" s="128"/>
      <c r="H259" s="128"/>
      <c r="I259" s="128"/>
      <c r="J259" s="128"/>
      <c r="K259" s="128"/>
    </row>
    <row r="260" spans="1:11">
      <c r="A260" s="128"/>
      <c r="B260" s="128"/>
      <c r="C260" s="128"/>
      <c r="D260" s="128"/>
      <c r="E260" s="128"/>
      <c r="F260" s="76"/>
      <c r="G260" s="128"/>
      <c r="H260" s="128"/>
      <c r="I260" s="128"/>
      <c r="J260" s="128"/>
      <c r="K260" s="128"/>
    </row>
    <row r="261" spans="1:11">
      <c r="A261" s="128"/>
      <c r="B261" s="128"/>
      <c r="C261" s="128"/>
      <c r="D261" s="128"/>
      <c r="E261" s="128"/>
      <c r="F261" s="76"/>
      <c r="G261" s="128"/>
      <c r="H261" s="128"/>
      <c r="I261" s="128"/>
      <c r="J261" s="128"/>
      <c r="K261" s="128"/>
    </row>
    <row r="262" spans="1:11">
      <c r="A262" s="128"/>
      <c r="B262" s="128"/>
      <c r="C262" s="128"/>
      <c r="D262" s="128"/>
      <c r="E262" s="128"/>
      <c r="F262" s="76"/>
      <c r="G262" s="128"/>
      <c r="H262" s="128"/>
      <c r="I262" s="128"/>
      <c r="J262" s="128"/>
      <c r="K262" s="128"/>
    </row>
    <row r="263" spans="1:11">
      <c r="A263" s="128"/>
      <c r="B263" s="128"/>
      <c r="C263" s="128"/>
      <c r="D263" s="128"/>
      <c r="E263" s="128"/>
      <c r="F263" s="76"/>
      <c r="G263" s="128"/>
      <c r="H263" s="128"/>
      <c r="I263" s="128"/>
      <c r="J263" s="128"/>
      <c r="K263" s="128"/>
    </row>
    <row r="264" spans="1:11">
      <c r="A264" s="129"/>
      <c r="B264" s="129"/>
      <c r="C264" s="129"/>
      <c r="D264" s="129"/>
      <c r="E264" s="129"/>
      <c r="F264" s="131"/>
      <c r="G264" s="129"/>
      <c r="H264" s="129"/>
      <c r="I264" s="129"/>
      <c r="J264" s="129"/>
      <c r="K264" s="129"/>
    </row>
  </sheetData>
  <phoneticPr fontId="35"/>
  <dataValidations count="6">
    <dataValidation allowBlank="1" showInputMessage="1" showErrorMessage="1" sqref="C1" xr:uid="{17E44FCA-AE30-486C-AAF1-9EC1A4FC6FD2}"/>
    <dataValidation type="date" allowBlank="1" showInputMessage="1" showErrorMessage="1" sqref="H1:H1048576" xr:uid="{760908D8-2847-40A2-980B-8945ED5D2BB8}">
      <formula1>36161</formula1>
      <formula2>73051</formula2>
    </dataValidation>
    <dataValidation type="list" allowBlank="1" showInputMessage="1" showErrorMessage="1" sqref="D1:D1048576" xr:uid="{1CAE0946-2380-4368-B7DE-C9558A5911D2}">
      <formula1>"高,中,低"</formula1>
    </dataValidation>
    <dataValidation type="list" allowBlank="1" showInputMessage="1" showErrorMessage="1" sqref="E1:E1048576" xr:uid="{E1AEA89C-D32E-4D98-B1D1-4CE4AAF9AD5D}">
      <formula1>"01製造,02テスト,03リリース"</formula1>
    </dataValidation>
    <dataValidation type="list" allowBlank="1" showInputMessage="1" showErrorMessage="1" sqref="G1:H1048576" xr:uid="{30E2FC12-F36F-4A65-9782-B3836EB4B529}">
      <formula1>"作業中,完了"</formula1>
    </dataValidation>
    <dataValidation type="list" allowBlank="1" showInputMessage="1" showErrorMessage="1" sqref="C2:C1048576" xr:uid="{66346CB9-0A6F-4B5C-938D-81333151E7CC}">
      <formula1>"管理者,店舗,倉庫,店舗・倉庫,共通"</formula1>
    </dataValidation>
  </dataValidations>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02194C-DDAE-4BBE-B1E2-FC14024AE983}">
  <sheetPr>
    <tabColor theme="7" tint="0.59999389629810485"/>
  </sheetPr>
  <dimension ref="A1:L20"/>
  <sheetViews>
    <sheetView showGridLines="0" workbookViewId="0">
      <selection activeCell="O9" sqref="O9"/>
    </sheetView>
  </sheetViews>
  <sheetFormatPr defaultRowHeight="12"/>
  <cols>
    <col min="1" max="1" width="26.42578125" customWidth="1"/>
    <col min="2" max="2" width="29.28515625" customWidth="1"/>
    <col min="10" max="10" width="10.7109375" customWidth="1"/>
    <col min="11" max="11" width="20.7109375" customWidth="1"/>
    <col min="12" max="12" width="27.28515625" customWidth="1"/>
  </cols>
  <sheetData>
    <row r="1" spans="1:12" s="60" customFormat="1" ht="41.25" customHeight="1">
      <c r="A1" s="155" t="s">
        <v>129</v>
      </c>
      <c r="B1" s="155"/>
      <c r="C1" s="155"/>
      <c r="D1" s="155"/>
      <c r="E1" s="155"/>
      <c r="F1" s="155"/>
      <c r="G1" s="155"/>
      <c r="H1" s="155"/>
      <c r="I1" s="155"/>
      <c r="J1" s="155"/>
      <c r="K1" s="153" t="s">
        <v>130</v>
      </c>
      <c r="L1" s="154"/>
    </row>
    <row r="2" spans="1:12" ht="28.5" customHeight="1">
      <c r="A2" s="158" t="s">
        <v>131</v>
      </c>
      <c r="B2" s="158"/>
      <c r="C2" s="158"/>
      <c r="D2" s="158"/>
      <c r="E2" s="158"/>
      <c r="F2" s="158"/>
      <c r="G2" s="158"/>
      <c r="H2" s="158"/>
      <c r="I2" s="158"/>
      <c r="J2" s="158"/>
      <c r="K2" s="57" t="s">
        <v>132</v>
      </c>
      <c r="L2" s="57" t="s">
        <v>133</v>
      </c>
    </row>
    <row r="3" spans="1:12" ht="24.75" customHeight="1">
      <c r="A3" s="158"/>
      <c r="B3" s="158"/>
      <c r="C3" s="158"/>
      <c r="D3" s="158"/>
      <c r="E3" s="158"/>
      <c r="F3" s="158"/>
      <c r="G3" s="158"/>
      <c r="H3" s="158"/>
      <c r="I3" s="158"/>
      <c r="J3" s="158"/>
      <c r="K3" s="58" t="s">
        <v>134</v>
      </c>
      <c r="L3" s="58" t="s">
        <v>135</v>
      </c>
    </row>
    <row r="4" spans="1:12" ht="24.75" customHeight="1">
      <c r="A4" s="158"/>
      <c r="B4" s="158"/>
      <c r="C4" s="158"/>
      <c r="D4" s="158"/>
      <c r="E4" s="158"/>
      <c r="F4" s="158"/>
      <c r="G4" s="158"/>
      <c r="H4" s="158"/>
      <c r="I4" s="158"/>
      <c r="J4" s="158"/>
      <c r="K4" s="57" t="s">
        <v>136</v>
      </c>
      <c r="L4" s="57" t="s">
        <v>137</v>
      </c>
    </row>
    <row r="5" spans="1:12" ht="24.75" customHeight="1">
      <c r="A5" s="158"/>
      <c r="B5" s="158"/>
      <c r="C5" s="158"/>
      <c r="D5" s="158"/>
      <c r="E5" s="158"/>
      <c r="F5" s="158"/>
      <c r="G5" s="158"/>
      <c r="H5" s="158"/>
      <c r="I5" s="158"/>
      <c r="J5" s="158"/>
      <c r="K5" s="58" t="s">
        <v>138</v>
      </c>
      <c r="L5" s="58" t="s">
        <v>139</v>
      </c>
    </row>
    <row r="6" spans="1:12" ht="51" customHeight="1">
      <c r="A6" s="158"/>
      <c r="B6" s="158"/>
      <c r="C6" s="158"/>
      <c r="D6" s="158"/>
      <c r="E6" s="158"/>
      <c r="F6" s="158"/>
      <c r="G6" s="158"/>
      <c r="H6" s="158"/>
      <c r="I6" s="158"/>
      <c r="J6" s="158"/>
      <c r="K6" s="57" t="s">
        <v>140</v>
      </c>
      <c r="L6" s="57" t="s">
        <v>141</v>
      </c>
    </row>
    <row r="7" spans="1:12" ht="24.75" customHeight="1">
      <c r="A7" s="158"/>
      <c r="B7" s="158"/>
      <c r="C7" s="158"/>
      <c r="D7" s="158"/>
      <c r="E7" s="158"/>
      <c r="F7" s="158"/>
      <c r="G7" s="158"/>
      <c r="H7" s="158"/>
      <c r="I7" s="158"/>
      <c r="J7" s="158"/>
      <c r="K7" s="58" t="s">
        <v>142</v>
      </c>
      <c r="L7" s="58" t="s">
        <v>143</v>
      </c>
    </row>
    <row r="8" spans="1:12" ht="24.75" customHeight="1">
      <c r="A8" s="158"/>
      <c r="B8" s="158"/>
      <c r="C8" s="158"/>
      <c r="D8" s="158"/>
      <c r="E8" s="158"/>
      <c r="F8" s="158"/>
      <c r="G8" s="158"/>
      <c r="H8" s="158"/>
      <c r="I8" s="158"/>
      <c r="J8" s="158"/>
      <c r="K8" s="59" t="s">
        <v>29</v>
      </c>
      <c r="L8" s="59" t="s">
        <v>144</v>
      </c>
    </row>
    <row r="9" spans="1:12" ht="39.75" customHeight="1">
      <c r="A9" s="158"/>
      <c r="B9" s="158"/>
      <c r="C9" s="158"/>
      <c r="D9" s="158"/>
      <c r="E9" s="158"/>
      <c r="F9" s="158"/>
      <c r="G9" s="158"/>
      <c r="H9" s="158"/>
      <c r="I9" s="158"/>
      <c r="J9" s="158"/>
      <c r="K9" s="156" t="s">
        <v>145</v>
      </c>
      <c r="L9" s="157"/>
    </row>
    <row r="10" spans="1:12" ht="27.75" customHeight="1">
      <c r="A10" s="158"/>
      <c r="B10" s="158"/>
      <c r="C10" s="158"/>
      <c r="D10" s="158"/>
      <c r="E10" s="158"/>
      <c r="F10" s="158"/>
      <c r="G10" s="158"/>
      <c r="H10" s="158"/>
      <c r="I10" s="158"/>
      <c r="J10" s="159"/>
      <c r="K10" s="67" t="s">
        <v>145</v>
      </c>
      <c r="L10" s="67" t="s">
        <v>146</v>
      </c>
    </row>
    <row r="11" spans="1:12" ht="18" customHeight="1">
      <c r="A11" s="158"/>
      <c r="B11" s="158"/>
      <c r="C11" s="158"/>
      <c r="D11" s="158"/>
      <c r="E11" s="158"/>
      <c r="F11" s="158"/>
      <c r="G11" s="158"/>
      <c r="H11" s="158"/>
      <c r="I11" s="158"/>
      <c r="J11" s="159"/>
      <c r="K11" s="160"/>
      <c r="L11" s="160"/>
    </row>
    <row r="12" spans="1:12" ht="18" customHeight="1">
      <c r="A12" s="158"/>
      <c r="B12" s="158"/>
      <c r="C12" s="158"/>
      <c r="D12" s="158"/>
      <c r="E12" s="158"/>
      <c r="F12" s="158"/>
      <c r="G12" s="158"/>
      <c r="H12" s="158"/>
      <c r="I12" s="158"/>
      <c r="J12" s="159"/>
      <c r="K12" s="160"/>
      <c r="L12" s="160"/>
    </row>
    <row r="13" spans="1:12" ht="18" customHeight="1">
      <c r="A13" s="158"/>
      <c r="B13" s="158"/>
      <c r="C13" s="158"/>
      <c r="D13" s="158"/>
      <c r="E13" s="158"/>
      <c r="F13" s="158"/>
      <c r="G13" s="158"/>
      <c r="H13" s="158"/>
      <c r="I13" s="158"/>
      <c r="J13" s="159"/>
      <c r="K13" s="160"/>
      <c r="L13" s="160"/>
    </row>
    <row r="14" spans="1:12" ht="18" customHeight="1">
      <c r="A14" s="158"/>
      <c r="B14" s="158"/>
      <c r="C14" s="158"/>
      <c r="D14" s="158"/>
      <c r="E14" s="158"/>
      <c r="F14" s="158"/>
      <c r="G14" s="158"/>
      <c r="H14" s="158"/>
      <c r="I14" s="158"/>
      <c r="J14" s="159"/>
      <c r="K14" s="160"/>
      <c r="L14" s="160"/>
    </row>
    <row r="15" spans="1:12" ht="18" customHeight="1">
      <c r="A15" s="158"/>
      <c r="B15" s="158"/>
      <c r="C15" s="158"/>
      <c r="D15" s="158"/>
      <c r="E15" s="158"/>
      <c r="F15" s="158"/>
      <c r="G15" s="158"/>
      <c r="H15" s="158"/>
      <c r="I15" s="158"/>
      <c r="J15" s="159"/>
      <c r="K15" s="160"/>
      <c r="L15" s="160"/>
    </row>
    <row r="16" spans="1:12" ht="18" customHeight="1">
      <c r="A16" s="158"/>
      <c r="B16" s="158"/>
      <c r="C16" s="158"/>
      <c r="D16" s="158"/>
      <c r="E16" s="158"/>
      <c r="F16" s="158"/>
      <c r="G16" s="158"/>
      <c r="H16" s="158"/>
      <c r="I16" s="158"/>
      <c r="J16" s="159"/>
      <c r="K16" s="160"/>
      <c r="L16" s="160"/>
    </row>
    <row r="17" spans="1:12" ht="18" customHeight="1">
      <c r="A17" s="158"/>
      <c r="B17" s="158"/>
      <c r="C17" s="158"/>
      <c r="D17" s="158"/>
      <c r="E17" s="158"/>
      <c r="F17" s="158"/>
      <c r="G17" s="158"/>
      <c r="H17" s="158"/>
      <c r="I17" s="158"/>
      <c r="J17" s="159"/>
      <c r="K17" s="160"/>
      <c r="L17" s="160"/>
    </row>
    <row r="18" spans="1:12" ht="18" customHeight="1">
      <c r="A18" s="158"/>
      <c r="B18" s="158"/>
      <c r="C18" s="158"/>
      <c r="D18" s="158"/>
      <c r="E18" s="158"/>
      <c r="F18" s="158"/>
      <c r="G18" s="158"/>
      <c r="H18" s="158"/>
      <c r="I18" s="158"/>
      <c r="J18" s="159"/>
      <c r="K18" s="160"/>
      <c r="L18" s="160"/>
    </row>
    <row r="19" spans="1:12" ht="18" customHeight="1">
      <c r="A19" s="158"/>
      <c r="B19" s="158"/>
      <c r="C19" s="158"/>
      <c r="D19" s="158"/>
      <c r="E19" s="158"/>
      <c r="F19" s="158"/>
      <c r="G19" s="158"/>
      <c r="H19" s="158"/>
      <c r="I19" s="158"/>
      <c r="J19" s="159"/>
      <c r="K19" s="160"/>
      <c r="L19" s="160"/>
    </row>
    <row r="20" spans="1:12" ht="18" hidden="1" customHeight="1">
      <c r="A20" s="158"/>
      <c r="B20" s="158"/>
      <c r="C20" s="158"/>
      <c r="D20" s="158"/>
      <c r="E20" s="158"/>
      <c r="F20" s="158"/>
      <c r="G20" s="158"/>
      <c r="H20" s="158"/>
      <c r="I20" s="158"/>
      <c r="J20" s="159"/>
      <c r="K20" s="160"/>
      <c r="L20" s="160"/>
    </row>
  </sheetData>
  <mergeCells count="5">
    <mergeCell ref="K1:L1"/>
    <mergeCell ref="A1:J1"/>
    <mergeCell ref="K9:L9"/>
    <mergeCell ref="A2:J20"/>
    <mergeCell ref="K11:L20"/>
  </mergeCells>
  <phoneticPr fontId="35"/>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D45E7-55B0-44CD-934D-7B1DB8FA3D52}">
  <sheetPr>
    <tabColor theme="7" tint="0.59999389629810485"/>
  </sheetPr>
  <dimension ref="A1:J30"/>
  <sheetViews>
    <sheetView showGridLines="0" tabSelected="1" zoomScale="85" zoomScaleNormal="85" workbookViewId="0">
      <pane ySplit="1" topLeftCell="A19" activePane="bottomLeft" state="frozen"/>
      <selection pane="bottomLeft" activeCell="C19" sqref="C19:C20"/>
    </sheetView>
  </sheetViews>
  <sheetFormatPr defaultRowHeight="12"/>
  <cols>
    <col min="1" max="1" width="17.7109375" customWidth="1"/>
    <col min="2" max="2" width="36.42578125" customWidth="1"/>
    <col min="3" max="3" width="29.7109375" bestFit="1" customWidth="1"/>
    <col min="4" max="4" width="92.7109375" customWidth="1"/>
    <col min="5" max="5" width="8" bestFit="1" customWidth="1"/>
    <col min="6" max="6" width="6.140625" bestFit="1" customWidth="1"/>
    <col min="7" max="7" width="17" bestFit="1" customWidth="1"/>
    <col min="8" max="8" width="5.42578125" bestFit="1" customWidth="1"/>
    <col min="9" max="9" width="8.28515625" bestFit="1" customWidth="1"/>
    <col min="16384" max="16384" width="9.140625" bestFit="1" customWidth="1"/>
  </cols>
  <sheetData>
    <row r="1" spans="1:10" s="66" customFormat="1" ht="33" customHeight="1">
      <c r="A1" s="62" t="s">
        <v>147</v>
      </c>
      <c r="B1" s="64" t="s">
        <v>148</v>
      </c>
      <c r="C1" s="62" t="s">
        <v>149</v>
      </c>
      <c r="D1" s="62" t="s">
        <v>150</v>
      </c>
      <c r="E1" s="63" t="s">
        <v>151</v>
      </c>
      <c r="F1" s="64" t="s">
        <v>152</v>
      </c>
      <c r="G1" s="64" t="s">
        <v>153</v>
      </c>
      <c r="H1" s="64" t="s">
        <v>0</v>
      </c>
      <c r="I1" s="64" t="s">
        <v>154</v>
      </c>
      <c r="J1" s="65"/>
    </row>
    <row r="2" spans="1:10" ht="63" customHeight="1">
      <c r="A2" s="161" t="s">
        <v>88</v>
      </c>
      <c r="B2" s="81" t="s">
        <v>155</v>
      </c>
      <c r="C2" s="143" t="s">
        <v>156</v>
      </c>
      <c r="D2" s="144" t="s">
        <v>157</v>
      </c>
      <c r="E2" s="84"/>
      <c r="F2" s="81"/>
      <c r="G2" s="81"/>
      <c r="H2" s="81"/>
      <c r="I2" s="81"/>
      <c r="J2" s="29"/>
    </row>
    <row r="3" spans="1:10" ht="15">
      <c r="A3" s="162"/>
      <c r="B3" s="81" t="s">
        <v>158</v>
      </c>
      <c r="C3" s="143" t="s">
        <v>159</v>
      </c>
      <c r="D3" s="143" t="s">
        <v>160</v>
      </c>
      <c r="E3" s="84"/>
      <c r="F3" s="81"/>
      <c r="G3" s="81"/>
      <c r="H3" s="81"/>
      <c r="I3" s="81"/>
      <c r="J3" s="29"/>
    </row>
    <row r="4" spans="1:10" ht="78" customHeight="1">
      <c r="A4" s="162"/>
      <c r="B4" s="81"/>
      <c r="C4" s="143" t="s">
        <v>161</v>
      </c>
      <c r="D4" s="144" t="s">
        <v>162</v>
      </c>
      <c r="E4" s="84"/>
      <c r="F4" s="81"/>
      <c r="G4" s="81"/>
      <c r="H4" s="81"/>
      <c r="I4" s="81"/>
      <c r="J4" s="29"/>
    </row>
    <row r="5" spans="1:10" ht="38.25">
      <c r="A5" s="162"/>
      <c r="B5" s="164" t="s">
        <v>163</v>
      </c>
      <c r="C5" s="144" t="s">
        <v>164</v>
      </c>
      <c r="D5" s="144" t="s">
        <v>165</v>
      </c>
      <c r="E5" s="84"/>
      <c r="F5" s="81"/>
      <c r="G5" s="81"/>
      <c r="H5" s="81"/>
      <c r="I5" s="81"/>
      <c r="J5" s="29"/>
    </row>
    <row r="6" spans="1:10" ht="89.25">
      <c r="A6" s="162"/>
      <c r="B6" s="165"/>
      <c r="C6" s="143" t="s">
        <v>166</v>
      </c>
      <c r="D6" s="144" t="s">
        <v>167</v>
      </c>
      <c r="E6" s="84"/>
      <c r="F6" s="81"/>
      <c r="G6" s="81"/>
      <c r="H6" s="81"/>
      <c r="I6" s="81"/>
      <c r="J6" s="29"/>
    </row>
    <row r="7" spans="1:10" ht="50.25" customHeight="1">
      <c r="A7" s="163"/>
      <c r="B7" s="166"/>
      <c r="C7" s="143" t="s">
        <v>168</v>
      </c>
      <c r="D7" s="144" t="s">
        <v>169</v>
      </c>
      <c r="E7" s="84"/>
      <c r="F7" s="81"/>
      <c r="G7" s="81"/>
      <c r="H7" s="81"/>
      <c r="I7" s="81"/>
      <c r="J7" s="29"/>
    </row>
    <row r="8" spans="1:10" ht="51">
      <c r="A8" s="169" t="s">
        <v>170</v>
      </c>
      <c r="B8" s="168" t="s">
        <v>171</v>
      </c>
      <c r="C8" s="143" t="s">
        <v>172</v>
      </c>
      <c r="D8" s="145" t="s">
        <v>173</v>
      </c>
      <c r="E8" s="84"/>
      <c r="F8" s="81"/>
      <c r="G8" s="81"/>
      <c r="H8" s="81"/>
      <c r="I8" s="81"/>
      <c r="J8" s="29"/>
    </row>
    <row r="9" spans="1:10" ht="140.25">
      <c r="A9" s="169"/>
      <c r="B9" s="168"/>
      <c r="C9" s="144" t="s">
        <v>174</v>
      </c>
      <c r="D9" s="146" t="s">
        <v>175</v>
      </c>
      <c r="E9" s="84"/>
      <c r="F9" s="81"/>
      <c r="G9" s="81"/>
      <c r="H9" s="81"/>
      <c r="I9" s="81"/>
      <c r="J9" s="29"/>
    </row>
    <row r="10" spans="1:10" ht="89.25">
      <c r="A10" s="169"/>
      <c r="B10" s="85" t="s">
        <v>176</v>
      </c>
      <c r="C10" s="143" t="s">
        <v>177</v>
      </c>
      <c r="D10" s="144" t="s">
        <v>178</v>
      </c>
      <c r="E10" s="84"/>
      <c r="F10" s="81"/>
      <c r="G10" s="81"/>
      <c r="H10" s="81"/>
      <c r="I10" s="81"/>
      <c r="J10" s="29"/>
    </row>
    <row r="11" spans="1:10" ht="63.75">
      <c r="A11" s="167" t="s">
        <v>5</v>
      </c>
      <c r="B11" s="161" t="s">
        <v>171</v>
      </c>
      <c r="C11" s="143" t="s">
        <v>172</v>
      </c>
      <c r="D11" s="144" t="s">
        <v>179</v>
      </c>
      <c r="E11" s="84"/>
      <c r="F11" s="81"/>
      <c r="G11" s="81"/>
      <c r="H11" s="81"/>
      <c r="I11" s="81"/>
      <c r="J11" s="29"/>
    </row>
    <row r="12" spans="1:10" ht="89.25">
      <c r="A12" s="167"/>
      <c r="B12" s="163"/>
      <c r="C12" s="144" t="s">
        <v>174</v>
      </c>
      <c r="D12" s="144" t="s">
        <v>180</v>
      </c>
      <c r="E12" s="84"/>
      <c r="F12" s="81"/>
      <c r="G12" s="81"/>
      <c r="H12" s="81"/>
      <c r="I12" s="81"/>
      <c r="J12" s="29"/>
    </row>
    <row r="13" spans="1:10" ht="63.75">
      <c r="A13" s="167"/>
      <c r="B13" s="161" t="s">
        <v>181</v>
      </c>
      <c r="C13" s="143" t="s">
        <v>182</v>
      </c>
      <c r="D13" s="144" t="s">
        <v>183</v>
      </c>
      <c r="E13" s="84"/>
      <c r="F13" s="81"/>
      <c r="G13" s="81"/>
      <c r="H13" s="81"/>
      <c r="I13" s="81"/>
      <c r="J13" s="29"/>
    </row>
    <row r="14" spans="1:10" ht="63.75">
      <c r="A14" s="167"/>
      <c r="B14" s="163"/>
      <c r="C14" s="144" t="s">
        <v>184</v>
      </c>
      <c r="D14" s="144" t="s">
        <v>185</v>
      </c>
      <c r="E14" s="84"/>
      <c r="F14" s="81"/>
      <c r="G14" s="81"/>
      <c r="H14" s="81"/>
      <c r="I14" s="81"/>
      <c r="J14" s="29"/>
    </row>
    <row r="15" spans="1:10" ht="60">
      <c r="A15" s="167"/>
      <c r="B15" s="161" t="s">
        <v>186</v>
      </c>
      <c r="C15" s="143" t="s">
        <v>187</v>
      </c>
      <c r="D15" s="86" t="s">
        <v>188</v>
      </c>
      <c r="E15" s="84"/>
      <c r="F15" s="81"/>
      <c r="G15" s="81"/>
      <c r="H15" s="81"/>
      <c r="I15" s="81"/>
      <c r="J15" s="29"/>
    </row>
    <row r="16" spans="1:10" ht="60">
      <c r="A16" s="167"/>
      <c r="B16" s="163"/>
      <c r="C16" s="143" t="s">
        <v>189</v>
      </c>
      <c r="D16" s="86" t="s">
        <v>190</v>
      </c>
      <c r="E16" s="84"/>
      <c r="F16" s="81"/>
      <c r="G16" s="81"/>
      <c r="H16" s="81"/>
      <c r="I16" s="81"/>
      <c r="J16" s="29"/>
    </row>
    <row r="17" spans="1:10" ht="66.75" customHeight="1">
      <c r="A17" s="167"/>
      <c r="B17" s="161" t="s">
        <v>191</v>
      </c>
      <c r="C17" s="82" t="s">
        <v>192</v>
      </c>
      <c r="D17" s="86" t="s">
        <v>193</v>
      </c>
      <c r="E17" s="84"/>
      <c r="F17" s="81"/>
      <c r="G17" s="81"/>
      <c r="H17" s="81"/>
      <c r="I17" s="81"/>
      <c r="J17" s="29"/>
    </row>
    <row r="18" spans="1:10" ht="89.25" customHeight="1">
      <c r="A18" s="167"/>
      <c r="B18" s="163"/>
      <c r="C18" s="82" t="s">
        <v>194</v>
      </c>
      <c r="D18" s="86" t="s">
        <v>195</v>
      </c>
      <c r="E18" s="84"/>
      <c r="F18" s="81"/>
      <c r="G18" s="81"/>
      <c r="H18" s="81"/>
      <c r="I18" s="81"/>
      <c r="J18" s="29"/>
    </row>
    <row r="19" spans="1:10" ht="74.25" customHeight="1">
      <c r="A19" s="167"/>
      <c r="B19" s="187" t="s">
        <v>605</v>
      </c>
      <c r="C19" s="143" t="s">
        <v>196</v>
      </c>
      <c r="D19" s="86" t="s">
        <v>197</v>
      </c>
      <c r="E19" s="84"/>
      <c r="F19" s="81"/>
      <c r="G19" s="81"/>
      <c r="H19" s="81"/>
      <c r="I19" s="81"/>
      <c r="J19" s="29"/>
    </row>
    <row r="20" spans="1:10" ht="52.5" customHeight="1">
      <c r="A20" s="167"/>
      <c r="B20" s="170"/>
      <c r="C20" s="143" t="s">
        <v>198</v>
      </c>
      <c r="D20" s="86" t="s">
        <v>199</v>
      </c>
      <c r="E20" s="84"/>
      <c r="F20" s="81"/>
      <c r="G20" s="81"/>
      <c r="H20" s="81"/>
      <c r="I20" s="81"/>
      <c r="J20" s="29"/>
    </row>
    <row r="21" spans="1:10" ht="63" customHeight="1">
      <c r="A21" s="161" t="s">
        <v>200</v>
      </c>
      <c r="B21" s="81" t="s">
        <v>112</v>
      </c>
      <c r="C21" s="82" t="s">
        <v>159</v>
      </c>
      <c r="D21" s="83" t="s">
        <v>201</v>
      </c>
      <c r="E21" s="84"/>
      <c r="F21" s="81"/>
      <c r="G21" s="81"/>
      <c r="H21" s="81"/>
      <c r="I21" s="81"/>
      <c r="J21" s="29"/>
    </row>
    <row r="22" spans="1:10" ht="38.25">
      <c r="A22" s="162"/>
      <c r="B22" s="168" t="s">
        <v>202</v>
      </c>
      <c r="C22" s="82" t="s">
        <v>203</v>
      </c>
      <c r="D22" s="83" t="s">
        <v>204</v>
      </c>
      <c r="E22" s="84"/>
      <c r="F22" s="81"/>
      <c r="G22" s="81"/>
      <c r="H22" s="81"/>
      <c r="I22" s="81"/>
      <c r="J22" s="29"/>
    </row>
    <row r="23" spans="1:10" ht="49.5" customHeight="1">
      <c r="A23" s="162"/>
      <c r="B23" s="168"/>
      <c r="C23" s="82" t="s">
        <v>205</v>
      </c>
      <c r="D23" s="83" t="s">
        <v>206</v>
      </c>
      <c r="E23" s="84"/>
      <c r="F23" s="81"/>
      <c r="G23" s="81"/>
      <c r="H23" s="81"/>
      <c r="I23" s="81"/>
      <c r="J23" s="29"/>
    </row>
    <row r="24" spans="1:10" ht="25.5">
      <c r="A24" s="162"/>
      <c r="B24" s="81" t="s">
        <v>207</v>
      </c>
      <c r="C24" s="82" t="s">
        <v>208</v>
      </c>
      <c r="D24" s="83" t="s">
        <v>209</v>
      </c>
      <c r="E24" s="135"/>
      <c r="F24" s="81"/>
      <c r="G24" s="81"/>
      <c r="H24" s="81"/>
      <c r="I24" s="81"/>
      <c r="J24" s="29"/>
    </row>
    <row r="25" spans="1:10" ht="102">
      <c r="A25" s="162"/>
      <c r="B25" s="164" t="s">
        <v>210</v>
      </c>
      <c r="C25" s="82" t="s">
        <v>211</v>
      </c>
      <c r="D25" s="83" t="s">
        <v>212</v>
      </c>
      <c r="E25" s="135"/>
      <c r="F25" s="81"/>
      <c r="G25" s="81"/>
      <c r="H25" s="81"/>
      <c r="I25" s="81"/>
      <c r="J25" s="29"/>
    </row>
    <row r="26" spans="1:10" ht="38.25">
      <c r="A26" s="162"/>
      <c r="B26" s="165"/>
      <c r="C26" s="82" t="s">
        <v>213</v>
      </c>
      <c r="D26" s="83" t="s">
        <v>214</v>
      </c>
      <c r="E26" s="84"/>
      <c r="F26" s="81"/>
      <c r="G26" s="81"/>
      <c r="H26" s="81"/>
      <c r="I26" s="81"/>
      <c r="J26" s="29"/>
    </row>
    <row r="27" spans="1:10" ht="89.25">
      <c r="A27" s="162"/>
      <c r="B27" s="165"/>
      <c r="C27" s="82" t="s">
        <v>215</v>
      </c>
      <c r="D27" s="83" t="s">
        <v>216</v>
      </c>
      <c r="E27" s="135"/>
      <c r="F27" s="81"/>
      <c r="G27" s="81"/>
      <c r="H27" s="81"/>
      <c r="I27" s="81"/>
      <c r="J27" s="29"/>
    </row>
    <row r="28" spans="1:10" ht="38.25">
      <c r="A28" s="167" t="s">
        <v>217</v>
      </c>
      <c r="B28" s="168" t="s">
        <v>218</v>
      </c>
      <c r="C28" s="82" t="s">
        <v>219</v>
      </c>
      <c r="D28" s="83" t="s">
        <v>220</v>
      </c>
      <c r="E28" s="84"/>
      <c r="F28" s="81"/>
      <c r="G28" s="81"/>
      <c r="H28" s="81"/>
      <c r="I28" s="81"/>
      <c r="J28" s="29"/>
    </row>
    <row r="29" spans="1:10" ht="38.25">
      <c r="A29" s="167"/>
      <c r="B29" s="168"/>
      <c r="C29" s="82" t="s">
        <v>221</v>
      </c>
      <c r="D29" s="83" t="s">
        <v>222</v>
      </c>
      <c r="E29" s="84"/>
      <c r="F29" s="81"/>
      <c r="G29" s="81"/>
      <c r="H29" s="81"/>
      <c r="I29" s="81"/>
      <c r="J29" s="29"/>
    </row>
    <row r="30" spans="1:10" ht="102">
      <c r="A30" s="167"/>
      <c r="B30" s="81" t="s">
        <v>223</v>
      </c>
      <c r="C30" s="82" t="s">
        <v>224</v>
      </c>
      <c r="D30" s="83" t="s">
        <v>225</v>
      </c>
      <c r="E30" s="84"/>
      <c r="F30" s="81"/>
      <c r="G30" s="81"/>
      <c r="H30" s="81"/>
      <c r="I30" s="81"/>
      <c r="J30" s="29"/>
    </row>
  </sheetData>
  <mergeCells count="15">
    <mergeCell ref="A2:A7"/>
    <mergeCell ref="B5:B7"/>
    <mergeCell ref="A28:A30"/>
    <mergeCell ref="B8:B9"/>
    <mergeCell ref="A8:A10"/>
    <mergeCell ref="B22:B23"/>
    <mergeCell ref="B28:B29"/>
    <mergeCell ref="A11:A20"/>
    <mergeCell ref="A21:A27"/>
    <mergeCell ref="B25:B27"/>
    <mergeCell ref="B15:B16"/>
    <mergeCell ref="B13:B14"/>
    <mergeCell ref="B11:B12"/>
    <mergeCell ref="B17:B18"/>
    <mergeCell ref="B19:B20"/>
  </mergeCells>
  <phoneticPr fontId="35"/>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EF276-12BA-4B3A-8545-21EDB4E01521}">
  <sheetPr>
    <tabColor theme="7" tint="0.59999389629810485"/>
  </sheetPr>
  <dimension ref="A1"/>
  <sheetViews>
    <sheetView topLeftCell="C1" zoomScale="175" zoomScaleNormal="175" workbookViewId="0">
      <selection activeCell="K20" sqref="K20"/>
    </sheetView>
  </sheetViews>
  <sheetFormatPr defaultRowHeight="12"/>
  <sheetData/>
  <phoneticPr fontId="35"/>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7" tint="0.59999389629810485"/>
  </sheetPr>
  <dimension ref="A1:G24"/>
  <sheetViews>
    <sheetView showGridLines="0" workbookViewId="0">
      <pane ySplit="2" topLeftCell="A3" activePane="bottomLeft" state="frozen"/>
      <selection pane="bottomLeft" activeCell="D23" sqref="D23"/>
    </sheetView>
  </sheetViews>
  <sheetFormatPr defaultColWidth="19.5703125" defaultRowHeight="23.1" customHeight="1"/>
  <cols>
    <col min="1" max="1" width="26.28515625" style="1" customWidth="1"/>
    <col min="2" max="8" width="19.5703125" style="1" customWidth="1"/>
    <col min="9" max="16384" width="19.5703125" style="1"/>
  </cols>
  <sheetData>
    <row r="1" spans="1:7" ht="25.9" customHeight="1">
      <c r="A1" s="171" t="s">
        <v>226</v>
      </c>
      <c r="B1" s="171"/>
      <c r="C1" s="171"/>
      <c r="D1" s="171"/>
      <c r="E1" s="171"/>
      <c r="F1" s="171"/>
      <c r="G1" s="171"/>
    </row>
    <row r="2" spans="1:7" ht="18.95" customHeight="1">
      <c r="A2" s="7" t="s">
        <v>227</v>
      </c>
      <c r="B2" s="8" t="s">
        <v>228</v>
      </c>
      <c r="C2" s="8"/>
      <c r="D2" s="8"/>
      <c r="E2" s="8"/>
      <c r="F2" s="8"/>
      <c r="G2" s="9"/>
    </row>
    <row r="3" spans="1:7" ht="48.75" customHeight="1">
      <c r="A3" s="5" t="s">
        <v>229</v>
      </c>
      <c r="B3" s="2" t="s">
        <v>230</v>
      </c>
      <c r="C3" s="10"/>
      <c r="D3" s="10"/>
      <c r="E3" s="10"/>
      <c r="F3" s="10"/>
      <c r="G3" s="11"/>
    </row>
    <row r="4" spans="1:7" ht="18.2" customHeight="1">
      <c r="A4" s="6" t="s">
        <v>231</v>
      </c>
      <c r="B4" s="3" t="s">
        <v>232</v>
      </c>
      <c r="C4" s="13"/>
      <c r="D4" s="13"/>
      <c r="E4" s="13"/>
      <c r="F4" s="13"/>
      <c r="G4" s="14"/>
    </row>
    <row r="5" spans="1:7" ht="86.25" customHeight="1">
      <c r="A5" s="6" t="s">
        <v>233</v>
      </c>
      <c r="B5" s="3" t="s">
        <v>234</v>
      </c>
      <c r="C5" s="13"/>
      <c r="D5" s="13"/>
      <c r="E5" s="13"/>
      <c r="F5" s="13"/>
      <c r="G5" s="14"/>
    </row>
    <row r="6" spans="1:7" ht="18.2" customHeight="1">
      <c r="A6" s="6" t="s">
        <v>235</v>
      </c>
      <c r="B6" s="13"/>
      <c r="C6" s="13"/>
      <c r="D6" s="13"/>
      <c r="E6" s="13"/>
      <c r="F6" s="13"/>
      <c r="G6" s="14"/>
    </row>
    <row r="7" spans="1:7" ht="18.2" customHeight="1">
      <c r="A7" s="15" t="s">
        <v>236</v>
      </c>
      <c r="B7" s="16"/>
      <c r="C7" s="16"/>
      <c r="D7" s="16"/>
      <c r="E7" s="16"/>
      <c r="F7" s="16"/>
      <c r="G7" s="17"/>
    </row>
    <row r="8" spans="1:7" ht="18.2" customHeight="1">
      <c r="A8" s="6" t="s">
        <v>237</v>
      </c>
      <c r="B8" s="3"/>
      <c r="C8" s="13"/>
      <c r="D8" s="13"/>
      <c r="E8" s="13"/>
      <c r="F8" s="13"/>
      <c r="G8" s="14"/>
    </row>
    <row r="9" spans="1:7" ht="18.2" customHeight="1">
      <c r="A9" s="15" t="s">
        <v>238</v>
      </c>
      <c r="B9" s="16"/>
      <c r="C9" s="16"/>
      <c r="D9" s="16"/>
      <c r="E9" s="16"/>
      <c r="F9" s="16"/>
      <c r="G9" s="17"/>
    </row>
    <row r="10" spans="1:7" ht="18.2" customHeight="1">
      <c r="A10" s="6" t="s">
        <v>239</v>
      </c>
      <c r="B10" s="13"/>
      <c r="C10" s="13"/>
      <c r="D10" s="13"/>
      <c r="E10" s="13"/>
      <c r="F10" s="13"/>
      <c r="G10" s="14"/>
    </row>
    <row r="11" spans="1:7" ht="18.2" customHeight="1">
      <c r="A11" s="18" t="s">
        <v>240</v>
      </c>
      <c r="B11" s="16"/>
      <c r="C11" s="16"/>
      <c r="D11" s="16"/>
      <c r="E11" s="16"/>
      <c r="F11" s="16"/>
      <c r="G11" s="17"/>
    </row>
    <row r="12" spans="1:7" ht="18.2" customHeight="1">
      <c r="A12" s="18" t="s">
        <v>241</v>
      </c>
      <c r="B12" s="16"/>
      <c r="C12" s="16"/>
      <c r="D12" s="16"/>
      <c r="E12" s="16"/>
      <c r="F12" s="16"/>
      <c r="G12" s="17"/>
    </row>
    <row r="13" spans="1:7" ht="18.2" customHeight="1">
      <c r="A13" s="4" t="s">
        <v>242</v>
      </c>
      <c r="B13" s="13"/>
      <c r="C13" s="13"/>
      <c r="D13" s="13"/>
      <c r="E13" s="13"/>
      <c r="F13" s="13"/>
      <c r="G13" s="14"/>
    </row>
    <row r="14" spans="1:7" ht="18.2" customHeight="1">
      <c r="A14" s="4" t="s">
        <v>243</v>
      </c>
      <c r="B14" s="13"/>
      <c r="C14" s="13"/>
      <c r="D14" s="13"/>
      <c r="E14" s="13"/>
      <c r="F14" s="13"/>
      <c r="G14" s="14"/>
    </row>
    <row r="15" spans="1:7" ht="18.2" customHeight="1">
      <c r="A15" s="18" t="s">
        <v>244</v>
      </c>
      <c r="B15" s="16"/>
      <c r="C15" s="16"/>
      <c r="D15" s="16"/>
      <c r="E15" s="16"/>
      <c r="F15" s="16"/>
      <c r="G15" s="17"/>
    </row>
    <row r="16" spans="1:7" ht="18.2" customHeight="1">
      <c r="A16" s="18"/>
      <c r="B16" s="16"/>
      <c r="C16" s="16"/>
      <c r="D16" s="16"/>
      <c r="E16" s="16"/>
      <c r="F16" s="16"/>
      <c r="G16" s="17"/>
    </row>
    <row r="17" spans="1:7" ht="18.2" customHeight="1">
      <c r="A17" s="12"/>
      <c r="B17" s="13"/>
      <c r="C17" s="13"/>
      <c r="D17" s="13"/>
      <c r="E17" s="13"/>
      <c r="F17" s="13"/>
      <c r="G17" s="14"/>
    </row>
    <row r="18" spans="1:7" ht="18.2" customHeight="1">
      <c r="A18" s="18"/>
      <c r="B18" s="16"/>
      <c r="C18" s="16"/>
      <c r="D18" s="16"/>
      <c r="E18" s="16"/>
      <c r="F18" s="16"/>
      <c r="G18" s="17"/>
    </row>
    <row r="19" spans="1:7" ht="18.2" customHeight="1">
      <c r="A19" s="12"/>
      <c r="B19" s="13"/>
      <c r="C19" s="13"/>
      <c r="D19" s="13"/>
      <c r="E19" s="13"/>
      <c r="F19" s="13"/>
      <c r="G19" s="14"/>
    </row>
    <row r="20" spans="1:7" ht="18.2" customHeight="1">
      <c r="A20" s="18"/>
      <c r="B20" s="16"/>
      <c r="C20" s="16"/>
      <c r="D20" s="16"/>
      <c r="E20" s="16"/>
      <c r="F20" s="16"/>
      <c r="G20" s="17"/>
    </row>
    <row r="21" spans="1:7" ht="18.2" customHeight="1">
      <c r="A21" s="12"/>
      <c r="B21" s="13"/>
      <c r="C21" s="13"/>
      <c r="D21" s="13"/>
      <c r="E21" s="13"/>
      <c r="F21" s="13"/>
      <c r="G21" s="14"/>
    </row>
    <row r="22" spans="1:7" ht="18.2" customHeight="1">
      <c r="A22" s="18"/>
      <c r="B22" s="16"/>
      <c r="C22" s="16"/>
      <c r="D22" s="16"/>
      <c r="E22" s="16"/>
      <c r="F22" s="16"/>
      <c r="G22" s="17"/>
    </row>
    <row r="23" spans="1:7" ht="18.2" customHeight="1">
      <c r="A23" s="12"/>
      <c r="B23" s="13"/>
      <c r="C23" s="13"/>
      <c r="D23" s="13"/>
      <c r="E23" s="13"/>
      <c r="F23" s="13"/>
      <c r="G23" s="14"/>
    </row>
    <row r="24" spans="1:7" ht="18.399999999999999" customHeight="1">
      <c r="A24" s="19"/>
      <c r="B24" s="20"/>
      <c r="C24" s="20"/>
      <c r="D24" s="20"/>
      <c r="E24" s="20"/>
      <c r="F24" s="20"/>
      <c r="G24" s="21"/>
    </row>
  </sheetData>
  <mergeCells count="1">
    <mergeCell ref="A1:G1"/>
  </mergeCells>
  <phoneticPr fontId="35"/>
  <pageMargins left="0.5" right="0.5" top="0.75" bottom="0.75" header="0.27777800000000002" footer="0.27777800000000002"/>
  <pageSetup scale="72" orientation="portrait"/>
  <headerFooter>
    <oddFooter>&amp;C&amp;"ヒラギノ角ゴ ProN W3,Regular"&amp;12&amp;K000000&amp;P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54D93-ABED-41E9-B8C2-B37512093803}">
  <sheetPr>
    <tabColor theme="7" tint="0.59999389629810485"/>
  </sheetPr>
  <dimension ref="A1:N136"/>
  <sheetViews>
    <sheetView topLeftCell="A102" workbookViewId="0">
      <selection activeCell="F167" sqref="F167"/>
    </sheetView>
  </sheetViews>
  <sheetFormatPr defaultRowHeight="12"/>
  <cols>
    <col min="1" max="1" width="7.7109375" customWidth="1"/>
    <col min="2" max="3" width="23.5703125" customWidth="1"/>
    <col min="4" max="5" width="9.140625" style="51"/>
  </cols>
  <sheetData>
    <row r="1" spans="1:14" ht="15" customHeight="1"/>
    <row r="2" spans="1:14" ht="15" customHeight="1">
      <c r="B2" s="22" t="s">
        <v>245</v>
      </c>
      <c r="C2" s="173" t="s">
        <v>246</v>
      </c>
      <c r="D2" s="173"/>
      <c r="E2" s="173"/>
      <c r="F2" s="173"/>
      <c r="G2" s="173"/>
      <c r="H2" s="173"/>
      <c r="I2" s="173"/>
    </row>
    <row r="3" spans="1:14" ht="15" customHeight="1">
      <c r="B3" s="22" t="s">
        <v>247</v>
      </c>
      <c r="C3" s="23" t="s">
        <v>248</v>
      </c>
      <c r="D3" s="52" t="s">
        <v>249</v>
      </c>
      <c r="E3" s="50"/>
      <c r="F3" s="22" t="s">
        <v>250</v>
      </c>
      <c r="G3" s="23"/>
      <c r="H3" s="22" t="s">
        <v>251</v>
      </c>
      <c r="I3" s="23" t="s">
        <v>252</v>
      </c>
    </row>
    <row r="4" spans="1:14" ht="15" customHeight="1"/>
    <row r="5" spans="1:14" ht="15" customHeight="1"/>
    <row r="6" spans="1:14" ht="15" customHeight="1">
      <c r="B6" s="25" t="s">
        <v>253</v>
      </c>
      <c r="C6" s="172" t="s">
        <v>254</v>
      </c>
      <c r="D6" s="172"/>
      <c r="E6" s="172"/>
      <c r="F6" s="172"/>
      <c r="G6" s="172"/>
      <c r="H6" s="172"/>
    </row>
    <row r="7" spans="1:14" ht="15" customHeight="1">
      <c r="B7" s="23" t="s">
        <v>255</v>
      </c>
      <c r="C7" s="173"/>
      <c r="D7" s="173"/>
      <c r="E7" s="173"/>
      <c r="F7" s="173"/>
      <c r="G7" s="173"/>
      <c r="H7" s="173"/>
    </row>
    <row r="8" spans="1:14" ht="15" customHeight="1"/>
    <row r="9" spans="1:14" ht="15" customHeight="1">
      <c r="A9" s="25" t="s">
        <v>256</v>
      </c>
      <c r="B9" s="26" t="s">
        <v>257</v>
      </c>
      <c r="C9" s="25" t="s">
        <v>258</v>
      </c>
      <c r="D9" s="174" t="s">
        <v>259</v>
      </c>
      <c r="E9" s="174"/>
      <c r="F9" s="172" t="s">
        <v>260</v>
      </c>
      <c r="G9" s="172"/>
      <c r="H9" s="25" t="s">
        <v>261</v>
      </c>
      <c r="I9" s="25" t="s">
        <v>262</v>
      </c>
      <c r="J9" s="175" t="s">
        <v>46</v>
      </c>
      <c r="K9" s="175"/>
      <c r="L9" s="175"/>
      <c r="M9" s="175"/>
      <c r="N9" s="175"/>
    </row>
    <row r="10" spans="1:14" ht="15" customHeight="1">
      <c r="A10" s="27" t="b">
        <v>0</v>
      </c>
      <c r="B10" s="24"/>
      <c r="C10" s="23"/>
      <c r="D10" s="176"/>
      <c r="E10" s="176"/>
      <c r="F10" s="178" t="b">
        <v>0</v>
      </c>
      <c r="G10" s="178"/>
      <c r="H10" s="27" t="b">
        <v>0</v>
      </c>
      <c r="I10" s="28" t="b">
        <v>0</v>
      </c>
      <c r="J10" s="180"/>
      <c r="K10" s="180"/>
      <c r="L10" s="180"/>
      <c r="M10" s="180"/>
      <c r="N10" s="180"/>
    </row>
    <row r="11" spans="1:14" ht="15" customHeight="1">
      <c r="A11" s="27" t="b">
        <v>0</v>
      </c>
      <c r="B11" s="24"/>
      <c r="C11" s="23"/>
      <c r="D11" s="176"/>
      <c r="E11" s="176"/>
      <c r="F11" s="178" t="b">
        <v>0</v>
      </c>
      <c r="G11" s="178"/>
      <c r="H11" s="27" t="b">
        <v>0</v>
      </c>
      <c r="I11" s="28" t="b">
        <v>0</v>
      </c>
      <c r="J11" s="173"/>
      <c r="K11" s="173"/>
      <c r="L11" s="173"/>
      <c r="M11" s="173"/>
      <c r="N11" s="173"/>
    </row>
    <row r="12" spans="1:14" ht="34.5" customHeight="1"/>
    <row r="13" spans="1:14" ht="15" customHeight="1">
      <c r="B13" s="25" t="s">
        <v>253</v>
      </c>
      <c r="C13" s="172" t="s">
        <v>254</v>
      </c>
      <c r="D13" s="172"/>
      <c r="E13" s="172"/>
      <c r="F13" s="172"/>
      <c r="G13" s="172"/>
      <c r="H13" s="172"/>
    </row>
    <row r="14" spans="1:14" ht="15" customHeight="1">
      <c r="B14" s="23" t="s">
        <v>263</v>
      </c>
      <c r="C14" s="173" t="s">
        <v>264</v>
      </c>
      <c r="D14" s="173"/>
      <c r="E14" s="173"/>
      <c r="F14" s="173"/>
      <c r="G14" s="173"/>
      <c r="H14" s="173"/>
    </row>
    <row r="15" spans="1:14" ht="15" customHeight="1"/>
    <row r="16" spans="1:14" ht="15" customHeight="1">
      <c r="A16" s="25" t="s">
        <v>256</v>
      </c>
      <c r="B16" s="26" t="s">
        <v>257</v>
      </c>
      <c r="C16" s="25" t="s">
        <v>258</v>
      </c>
      <c r="D16" s="174" t="s">
        <v>259</v>
      </c>
      <c r="E16" s="174"/>
      <c r="F16" s="172" t="s">
        <v>260</v>
      </c>
      <c r="G16" s="172"/>
      <c r="H16" s="25" t="s">
        <v>261</v>
      </c>
      <c r="I16" s="25" t="s">
        <v>262</v>
      </c>
      <c r="J16" s="175" t="s">
        <v>46</v>
      </c>
      <c r="K16" s="175"/>
      <c r="L16" s="175"/>
      <c r="M16" s="175"/>
      <c r="N16" s="175"/>
    </row>
    <row r="17" spans="1:14" ht="15" customHeight="1">
      <c r="A17" s="27" t="b">
        <v>1</v>
      </c>
      <c r="B17" s="24" t="s">
        <v>265</v>
      </c>
      <c r="C17" s="23" t="s">
        <v>266</v>
      </c>
      <c r="D17" s="176" t="s">
        <v>267</v>
      </c>
      <c r="E17" s="176"/>
      <c r="F17" s="178" t="b">
        <v>1</v>
      </c>
      <c r="G17" s="178"/>
      <c r="H17" s="27" t="b">
        <v>1</v>
      </c>
      <c r="I17" s="28" t="b">
        <v>0</v>
      </c>
      <c r="J17" s="180" t="s">
        <v>268</v>
      </c>
      <c r="K17" s="180"/>
      <c r="L17" s="180"/>
      <c r="M17" s="180"/>
      <c r="N17" s="180"/>
    </row>
    <row r="18" spans="1:14" ht="15" customHeight="1">
      <c r="A18" s="27" t="b">
        <v>0</v>
      </c>
      <c r="B18" s="24" t="s">
        <v>269</v>
      </c>
      <c r="C18" s="23" t="s">
        <v>270</v>
      </c>
      <c r="D18" s="181" t="s">
        <v>271</v>
      </c>
      <c r="E18" s="181"/>
      <c r="F18" s="178" t="b">
        <v>1</v>
      </c>
      <c r="G18" s="178"/>
      <c r="H18" s="27" t="b">
        <v>0</v>
      </c>
      <c r="I18" s="28" t="b">
        <v>0</v>
      </c>
      <c r="J18" s="173"/>
      <c r="K18" s="173"/>
      <c r="L18" s="173"/>
      <c r="M18" s="173"/>
      <c r="N18" s="173"/>
    </row>
    <row r="19" spans="1:14" ht="15" customHeight="1">
      <c r="A19" s="27" t="b">
        <v>0</v>
      </c>
      <c r="B19" s="24" t="s">
        <v>272</v>
      </c>
      <c r="C19" s="23" t="s">
        <v>273</v>
      </c>
      <c r="D19" s="181" t="s">
        <v>267</v>
      </c>
      <c r="E19" s="181"/>
      <c r="F19" s="178" t="b">
        <v>1</v>
      </c>
      <c r="G19" s="178"/>
      <c r="H19" s="27" t="b">
        <v>0</v>
      </c>
      <c r="I19" s="28" t="b">
        <v>1</v>
      </c>
      <c r="J19" s="173" t="s">
        <v>274</v>
      </c>
      <c r="K19" s="173"/>
      <c r="L19" s="173"/>
      <c r="M19" s="173"/>
      <c r="N19" s="173"/>
    </row>
    <row r="20" spans="1:14" ht="29.25" customHeight="1"/>
    <row r="21" spans="1:14" ht="15" customHeight="1">
      <c r="B21" s="25" t="s">
        <v>253</v>
      </c>
      <c r="C21" s="172" t="s">
        <v>254</v>
      </c>
      <c r="D21" s="172"/>
      <c r="E21" s="172"/>
      <c r="F21" s="172"/>
      <c r="G21" s="172"/>
      <c r="H21" s="172"/>
    </row>
    <row r="22" spans="1:14" ht="15" customHeight="1">
      <c r="B22" s="23" t="s">
        <v>275</v>
      </c>
      <c r="C22" s="173" t="s">
        <v>276</v>
      </c>
      <c r="D22" s="173"/>
      <c r="E22" s="173"/>
      <c r="F22" s="173"/>
      <c r="G22" s="173"/>
      <c r="H22" s="173"/>
    </row>
    <row r="23" spans="1:14" ht="15" customHeight="1"/>
    <row r="24" spans="1:14" ht="15" customHeight="1">
      <c r="A24" s="25" t="s">
        <v>256</v>
      </c>
      <c r="B24" s="26" t="s">
        <v>257</v>
      </c>
      <c r="C24" s="25" t="s">
        <v>258</v>
      </c>
      <c r="D24" s="174" t="s">
        <v>259</v>
      </c>
      <c r="E24" s="174"/>
      <c r="F24" s="172" t="s">
        <v>260</v>
      </c>
      <c r="G24" s="172"/>
      <c r="H24" s="25" t="s">
        <v>261</v>
      </c>
      <c r="I24" s="25" t="s">
        <v>262</v>
      </c>
      <c r="J24" s="175" t="s">
        <v>46</v>
      </c>
      <c r="K24" s="175"/>
      <c r="L24" s="175"/>
      <c r="M24" s="175"/>
      <c r="N24" s="175"/>
    </row>
    <row r="25" spans="1:14" ht="15" customHeight="1">
      <c r="A25" s="27" t="b">
        <v>1</v>
      </c>
      <c r="B25" s="24" t="s">
        <v>277</v>
      </c>
      <c r="C25" s="23" t="s">
        <v>278</v>
      </c>
      <c r="D25" s="176" t="s">
        <v>267</v>
      </c>
      <c r="E25" s="176"/>
      <c r="F25" s="178" t="b">
        <v>1</v>
      </c>
      <c r="G25" s="178"/>
      <c r="H25" s="27" t="b">
        <v>1</v>
      </c>
      <c r="I25" s="28" t="b">
        <v>0</v>
      </c>
      <c r="J25" s="180" t="s">
        <v>268</v>
      </c>
      <c r="K25" s="180"/>
      <c r="L25" s="180"/>
      <c r="M25" s="180"/>
      <c r="N25" s="180"/>
    </row>
    <row r="26" spans="1:14" ht="15" customHeight="1">
      <c r="A26" s="27" t="b">
        <v>0</v>
      </c>
      <c r="B26" s="24" t="s">
        <v>279</v>
      </c>
      <c r="C26" s="23"/>
      <c r="D26" s="181" t="s">
        <v>271</v>
      </c>
      <c r="E26" s="181"/>
      <c r="F26" s="178" t="b">
        <v>1</v>
      </c>
      <c r="G26" s="178"/>
      <c r="H26" s="27" t="b">
        <v>0</v>
      </c>
      <c r="I26" s="28" t="b">
        <v>0</v>
      </c>
      <c r="J26" s="173"/>
      <c r="K26" s="173"/>
      <c r="L26" s="173"/>
      <c r="M26" s="173"/>
      <c r="N26" s="173"/>
    </row>
    <row r="27" spans="1:14" ht="15" customHeight="1">
      <c r="A27" s="27" t="b">
        <v>0</v>
      </c>
      <c r="B27" s="24" t="s">
        <v>272</v>
      </c>
      <c r="C27" s="23" t="s">
        <v>273</v>
      </c>
      <c r="D27" s="181" t="s">
        <v>267</v>
      </c>
      <c r="E27" s="181"/>
      <c r="F27" s="178" t="b">
        <v>1</v>
      </c>
      <c r="G27" s="178"/>
      <c r="H27" s="27" t="b">
        <v>0</v>
      </c>
      <c r="I27" s="28" t="b">
        <v>1</v>
      </c>
      <c r="J27" s="173" t="s">
        <v>274</v>
      </c>
      <c r="K27" s="173"/>
      <c r="L27" s="173"/>
      <c r="M27" s="173"/>
      <c r="N27" s="173"/>
    </row>
    <row r="28" spans="1:14" ht="29.25" customHeight="1"/>
    <row r="29" spans="1:14" ht="15" customHeight="1">
      <c r="B29" s="25" t="s">
        <v>253</v>
      </c>
      <c r="C29" s="172" t="s">
        <v>254</v>
      </c>
      <c r="D29" s="172"/>
      <c r="E29" s="172"/>
      <c r="F29" s="172"/>
      <c r="G29" s="172"/>
      <c r="H29" s="172"/>
    </row>
    <row r="30" spans="1:14" ht="15" customHeight="1">
      <c r="B30" s="23" t="s">
        <v>280</v>
      </c>
      <c r="C30" s="173" t="s">
        <v>281</v>
      </c>
      <c r="D30" s="173"/>
      <c r="E30" s="173"/>
      <c r="F30" s="173"/>
      <c r="G30" s="173"/>
      <c r="H30" s="173"/>
    </row>
    <row r="31" spans="1:14" ht="15" customHeight="1"/>
    <row r="32" spans="1:14" ht="15" customHeight="1">
      <c r="A32" s="25" t="s">
        <v>256</v>
      </c>
      <c r="B32" s="26" t="s">
        <v>257</v>
      </c>
      <c r="C32" s="25" t="s">
        <v>258</v>
      </c>
      <c r="D32" s="174" t="s">
        <v>259</v>
      </c>
      <c r="E32" s="174"/>
      <c r="F32" s="172" t="s">
        <v>260</v>
      </c>
      <c r="G32" s="172"/>
      <c r="H32" s="25" t="s">
        <v>261</v>
      </c>
      <c r="I32" s="25" t="s">
        <v>262</v>
      </c>
      <c r="J32" s="175" t="s">
        <v>46</v>
      </c>
      <c r="K32" s="175"/>
      <c r="L32" s="175"/>
      <c r="M32" s="175"/>
      <c r="N32" s="175"/>
    </row>
    <row r="33" spans="1:14" ht="15" customHeight="1">
      <c r="A33" s="27" t="b">
        <v>1</v>
      </c>
      <c r="B33" s="24" t="s">
        <v>282</v>
      </c>
      <c r="C33" s="23" t="s">
        <v>283</v>
      </c>
      <c r="D33" s="176" t="s">
        <v>267</v>
      </c>
      <c r="E33" s="176"/>
      <c r="F33" s="178" t="b">
        <v>1</v>
      </c>
      <c r="G33" s="178"/>
      <c r="H33" s="27" t="b">
        <v>1</v>
      </c>
      <c r="I33" s="28" t="b">
        <v>0</v>
      </c>
      <c r="J33" s="180" t="s">
        <v>268</v>
      </c>
      <c r="K33" s="180"/>
      <c r="L33" s="180"/>
      <c r="M33" s="180"/>
      <c r="N33" s="180"/>
    </row>
    <row r="34" spans="1:14" ht="15" customHeight="1">
      <c r="A34" s="27" t="b">
        <v>0</v>
      </c>
      <c r="B34" s="24" t="s">
        <v>284</v>
      </c>
      <c r="C34" s="23" t="s">
        <v>285</v>
      </c>
      <c r="D34" s="176" t="s">
        <v>271</v>
      </c>
      <c r="E34" s="176"/>
      <c r="F34" s="178" t="b">
        <v>1</v>
      </c>
      <c r="G34" s="178"/>
      <c r="H34" s="27" t="b">
        <v>0</v>
      </c>
      <c r="I34" s="28" t="b">
        <v>0</v>
      </c>
      <c r="J34" s="173"/>
      <c r="K34" s="173"/>
      <c r="L34" s="173"/>
      <c r="M34" s="173"/>
      <c r="N34" s="173"/>
    </row>
    <row r="35" spans="1:14" ht="15" customHeight="1">
      <c r="A35" s="27" t="b">
        <v>0</v>
      </c>
      <c r="B35" s="24" t="s">
        <v>272</v>
      </c>
      <c r="C35" s="23" t="s">
        <v>273</v>
      </c>
      <c r="D35" s="181" t="s">
        <v>267</v>
      </c>
      <c r="E35" s="181"/>
      <c r="F35" s="178" t="b">
        <v>1</v>
      </c>
      <c r="G35" s="178"/>
      <c r="H35" s="27" t="b">
        <v>0</v>
      </c>
      <c r="I35" s="28" t="b">
        <v>1</v>
      </c>
      <c r="J35" s="173" t="s">
        <v>274</v>
      </c>
      <c r="K35" s="173"/>
      <c r="L35" s="173"/>
      <c r="M35" s="173"/>
      <c r="N35" s="173"/>
    </row>
    <row r="36" spans="1:14" ht="27.75" customHeight="1"/>
    <row r="37" spans="1:14" ht="15" customHeight="1">
      <c r="B37" s="25" t="s">
        <v>253</v>
      </c>
      <c r="C37" s="172" t="s">
        <v>254</v>
      </c>
      <c r="D37" s="172"/>
      <c r="E37" s="172"/>
      <c r="F37" s="172"/>
      <c r="G37" s="172"/>
      <c r="H37" s="172"/>
    </row>
    <row r="38" spans="1:14" ht="15" customHeight="1">
      <c r="B38" s="23" t="s">
        <v>286</v>
      </c>
      <c r="C38" s="173" t="s">
        <v>287</v>
      </c>
      <c r="D38" s="173"/>
      <c r="E38" s="173"/>
      <c r="F38" s="173"/>
      <c r="G38" s="173"/>
      <c r="H38" s="173"/>
    </row>
    <row r="39" spans="1:14" ht="15" customHeight="1"/>
    <row r="40" spans="1:14" ht="15" customHeight="1">
      <c r="A40" s="25" t="s">
        <v>256</v>
      </c>
      <c r="B40" s="26" t="s">
        <v>257</v>
      </c>
      <c r="C40" s="25" t="s">
        <v>258</v>
      </c>
      <c r="D40" s="174" t="s">
        <v>259</v>
      </c>
      <c r="E40" s="174"/>
      <c r="F40" s="172" t="s">
        <v>260</v>
      </c>
      <c r="G40" s="172"/>
      <c r="H40" s="25" t="s">
        <v>261</v>
      </c>
      <c r="I40" s="25" t="s">
        <v>262</v>
      </c>
      <c r="J40" s="175" t="s">
        <v>46</v>
      </c>
      <c r="K40" s="175"/>
      <c r="L40" s="175"/>
      <c r="M40" s="175"/>
      <c r="N40" s="175"/>
    </row>
    <row r="41" spans="1:14" ht="15" customHeight="1">
      <c r="A41" s="27" t="b">
        <v>1</v>
      </c>
      <c r="B41" s="24" t="s">
        <v>288</v>
      </c>
      <c r="C41" s="23" t="s">
        <v>289</v>
      </c>
      <c r="D41" s="176" t="s">
        <v>267</v>
      </c>
      <c r="E41" s="176"/>
      <c r="F41" s="178" t="b">
        <v>1</v>
      </c>
      <c r="G41" s="178"/>
      <c r="H41" s="27" t="b">
        <v>1</v>
      </c>
      <c r="I41" s="28" t="b">
        <v>0</v>
      </c>
      <c r="J41" s="180" t="s">
        <v>268</v>
      </c>
      <c r="K41" s="180"/>
      <c r="L41" s="180"/>
      <c r="M41" s="180"/>
      <c r="N41" s="180"/>
    </row>
    <row r="42" spans="1:14" ht="15" customHeight="1">
      <c r="A42" s="27" t="b">
        <v>0</v>
      </c>
      <c r="B42" s="24" t="s">
        <v>290</v>
      </c>
      <c r="C42" s="23" t="s">
        <v>291</v>
      </c>
      <c r="D42" s="176" t="s">
        <v>271</v>
      </c>
      <c r="E42" s="176"/>
      <c r="F42" s="178" t="b">
        <v>1</v>
      </c>
      <c r="G42" s="178"/>
      <c r="H42" s="27" t="b">
        <v>0</v>
      </c>
      <c r="I42" s="28" t="b">
        <v>0</v>
      </c>
      <c r="J42" s="173"/>
      <c r="K42" s="173"/>
      <c r="L42" s="173"/>
      <c r="M42" s="173"/>
      <c r="N42" s="173"/>
    </row>
    <row r="43" spans="1:14" ht="15" customHeight="1">
      <c r="A43" s="27" t="b">
        <v>0</v>
      </c>
      <c r="B43" s="24" t="s">
        <v>272</v>
      </c>
      <c r="C43" s="23" t="s">
        <v>273</v>
      </c>
      <c r="D43" s="181" t="s">
        <v>267</v>
      </c>
      <c r="E43" s="181"/>
      <c r="F43" s="178" t="b">
        <v>1</v>
      </c>
      <c r="G43" s="178"/>
      <c r="H43" s="27" t="b">
        <v>0</v>
      </c>
      <c r="I43" s="28" t="b">
        <v>1</v>
      </c>
      <c r="J43" s="176" t="s">
        <v>274</v>
      </c>
      <c r="K43" s="176"/>
      <c r="L43" s="176"/>
      <c r="M43" s="176"/>
      <c r="N43" s="176"/>
    </row>
    <row r="44" spans="1:14" ht="30" customHeight="1"/>
    <row r="45" spans="1:14" ht="15" customHeight="1">
      <c r="B45" s="25" t="s">
        <v>253</v>
      </c>
      <c r="C45" s="172" t="s">
        <v>254</v>
      </c>
      <c r="D45" s="172"/>
      <c r="E45" s="172"/>
      <c r="F45" s="172"/>
      <c r="G45" s="172"/>
      <c r="H45" s="172"/>
    </row>
    <row r="46" spans="1:14" ht="15" customHeight="1">
      <c r="B46" s="23" t="s">
        <v>292</v>
      </c>
      <c r="C46" s="173" t="s">
        <v>293</v>
      </c>
      <c r="D46" s="173"/>
      <c r="E46" s="173"/>
      <c r="F46" s="173"/>
      <c r="G46" s="173"/>
      <c r="H46" s="173"/>
    </row>
    <row r="47" spans="1:14" ht="15" customHeight="1"/>
    <row r="48" spans="1:14" ht="15" customHeight="1">
      <c r="A48" s="25" t="s">
        <v>256</v>
      </c>
      <c r="B48" s="26" t="s">
        <v>257</v>
      </c>
      <c r="C48" s="25" t="s">
        <v>258</v>
      </c>
      <c r="D48" s="174" t="s">
        <v>259</v>
      </c>
      <c r="E48" s="174"/>
      <c r="F48" s="172" t="s">
        <v>260</v>
      </c>
      <c r="G48" s="172"/>
      <c r="H48" s="25" t="s">
        <v>261</v>
      </c>
      <c r="I48" s="25" t="s">
        <v>262</v>
      </c>
      <c r="J48" s="175" t="s">
        <v>46</v>
      </c>
      <c r="K48" s="175"/>
      <c r="L48" s="175"/>
      <c r="M48" s="175"/>
      <c r="N48" s="175"/>
    </row>
    <row r="49" spans="1:14" ht="15" customHeight="1">
      <c r="A49" s="27" t="b">
        <v>1</v>
      </c>
      <c r="B49" s="24" t="s">
        <v>294</v>
      </c>
      <c r="C49" s="23" t="s">
        <v>295</v>
      </c>
      <c r="D49" s="176" t="s">
        <v>267</v>
      </c>
      <c r="E49" s="176"/>
      <c r="F49" s="178" t="b">
        <v>1</v>
      </c>
      <c r="G49" s="178"/>
      <c r="H49" s="27" t="b">
        <v>1</v>
      </c>
      <c r="I49" s="28" t="b">
        <v>0</v>
      </c>
      <c r="J49" s="180" t="s">
        <v>268</v>
      </c>
      <c r="K49" s="180"/>
      <c r="L49" s="180"/>
      <c r="M49" s="180"/>
      <c r="N49" s="180"/>
    </row>
    <row r="50" spans="1:14" ht="15" customHeight="1">
      <c r="A50" s="27" t="b">
        <v>0</v>
      </c>
      <c r="B50" s="24" t="s">
        <v>296</v>
      </c>
      <c r="C50" s="23" t="s">
        <v>297</v>
      </c>
      <c r="D50" s="176" t="s">
        <v>271</v>
      </c>
      <c r="E50" s="176"/>
      <c r="F50" s="178" t="b">
        <v>1</v>
      </c>
      <c r="G50" s="178"/>
      <c r="H50" s="27" t="b">
        <v>0</v>
      </c>
      <c r="I50" s="28" t="b">
        <v>0</v>
      </c>
      <c r="J50" s="173"/>
      <c r="K50" s="173"/>
      <c r="L50" s="173"/>
      <c r="M50" s="173"/>
      <c r="N50" s="173"/>
    </row>
    <row r="51" spans="1:14" ht="15" customHeight="1">
      <c r="A51" s="27" t="b">
        <v>0</v>
      </c>
      <c r="B51" s="24" t="s">
        <v>265</v>
      </c>
      <c r="C51" s="23" t="s">
        <v>266</v>
      </c>
      <c r="D51" s="176" t="s">
        <v>267</v>
      </c>
      <c r="E51" s="176"/>
      <c r="F51" s="178" t="b">
        <v>1</v>
      </c>
      <c r="G51" s="178"/>
      <c r="H51" s="27" t="b">
        <v>0</v>
      </c>
      <c r="I51" s="28" t="b">
        <v>0</v>
      </c>
      <c r="J51" s="173" t="s">
        <v>298</v>
      </c>
      <c r="K51" s="173"/>
      <c r="L51" s="173"/>
      <c r="M51" s="173"/>
      <c r="N51" s="173"/>
    </row>
    <row r="52" spans="1:14" ht="15" customHeight="1">
      <c r="A52" s="27" t="b">
        <v>0</v>
      </c>
      <c r="B52" s="24" t="s">
        <v>272</v>
      </c>
      <c r="C52" s="23" t="s">
        <v>273</v>
      </c>
      <c r="D52" s="181" t="s">
        <v>267</v>
      </c>
      <c r="E52" s="181"/>
      <c r="F52" s="178" t="b">
        <v>1</v>
      </c>
      <c r="G52" s="178"/>
      <c r="H52" s="27" t="b">
        <v>0</v>
      </c>
      <c r="I52" s="28" t="b">
        <v>1</v>
      </c>
      <c r="J52" s="173" t="s">
        <v>274</v>
      </c>
      <c r="K52" s="173"/>
      <c r="L52" s="173"/>
      <c r="M52" s="173"/>
      <c r="N52" s="173"/>
    </row>
    <row r="53" spans="1:14" ht="30.75" customHeight="1"/>
    <row r="54" spans="1:14" ht="15" customHeight="1">
      <c r="B54" s="25" t="s">
        <v>253</v>
      </c>
      <c r="C54" s="172" t="s">
        <v>254</v>
      </c>
      <c r="D54" s="172"/>
      <c r="E54" s="172"/>
      <c r="F54" s="172"/>
      <c r="G54" s="172"/>
      <c r="H54" s="172"/>
    </row>
    <row r="55" spans="1:14" ht="15" customHeight="1">
      <c r="B55" s="23" t="s">
        <v>299</v>
      </c>
      <c r="C55" s="173" t="s">
        <v>300</v>
      </c>
      <c r="D55" s="173"/>
      <c r="E55" s="173"/>
      <c r="F55" s="173"/>
      <c r="G55" s="173"/>
      <c r="H55" s="173"/>
    </row>
    <row r="56" spans="1:14" ht="15" customHeight="1"/>
    <row r="57" spans="1:14" ht="15" customHeight="1">
      <c r="A57" s="25" t="s">
        <v>256</v>
      </c>
      <c r="B57" s="26" t="s">
        <v>257</v>
      </c>
      <c r="C57" s="25" t="s">
        <v>258</v>
      </c>
      <c r="D57" s="174" t="s">
        <v>259</v>
      </c>
      <c r="E57" s="174"/>
      <c r="F57" s="172" t="s">
        <v>260</v>
      </c>
      <c r="G57" s="172"/>
      <c r="H57" s="25" t="s">
        <v>261</v>
      </c>
      <c r="I57" s="25" t="s">
        <v>262</v>
      </c>
      <c r="J57" s="175" t="s">
        <v>46</v>
      </c>
      <c r="K57" s="175"/>
      <c r="L57" s="175"/>
      <c r="M57" s="175"/>
      <c r="N57" s="175"/>
    </row>
    <row r="58" spans="1:14" ht="15" customHeight="1">
      <c r="A58" s="27" t="b">
        <v>1</v>
      </c>
      <c r="B58" s="24" t="s">
        <v>301</v>
      </c>
      <c r="C58" s="23" t="s">
        <v>302</v>
      </c>
      <c r="D58" s="176" t="s">
        <v>267</v>
      </c>
      <c r="E58" s="176"/>
      <c r="F58" s="178" t="b">
        <v>1</v>
      </c>
      <c r="G58" s="178"/>
      <c r="H58" s="27" t="b">
        <v>1</v>
      </c>
      <c r="I58" s="28" t="b">
        <v>0</v>
      </c>
      <c r="J58" s="180" t="s">
        <v>268</v>
      </c>
      <c r="K58" s="180"/>
      <c r="L58" s="180"/>
      <c r="M58" s="180"/>
      <c r="N58" s="180"/>
    </row>
    <row r="59" spans="1:14" ht="15" customHeight="1">
      <c r="A59" s="27" t="b">
        <v>0</v>
      </c>
      <c r="B59" s="24" t="s">
        <v>282</v>
      </c>
      <c r="C59" s="23" t="s">
        <v>283</v>
      </c>
      <c r="D59" s="176" t="s">
        <v>267</v>
      </c>
      <c r="E59" s="176"/>
      <c r="F59" s="178" t="b">
        <v>1</v>
      </c>
      <c r="G59" s="178"/>
      <c r="H59" s="27" t="b">
        <v>0</v>
      </c>
      <c r="I59" s="28" t="b">
        <v>0</v>
      </c>
      <c r="J59" s="173" t="s">
        <v>298</v>
      </c>
      <c r="K59" s="173"/>
      <c r="L59" s="173"/>
      <c r="M59" s="173"/>
      <c r="N59" s="173"/>
    </row>
    <row r="60" spans="1:14" ht="15" customHeight="1">
      <c r="A60" s="27" t="b">
        <v>0</v>
      </c>
      <c r="B60" s="24" t="s">
        <v>294</v>
      </c>
      <c r="C60" s="23" t="s">
        <v>295</v>
      </c>
      <c r="D60" s="176" t="s">
        <v>267</v>
      </c>
      <c r="E60" s="176"/>
      <c r="F60" s="178" t="b">
        <v>1</v>
      </c>
      <c r="G60" s="178"/>
      <c r="H60" s="27" t="b">
        <v>0</v>
      </c>
      <c r="I60" s="28" t="b">
        <v>0</v>
      </c>
      <c r="J60" s="173" t="s">
        <v>298</v>
      </c>
      <c r="K60" s="173"/>
      <c r="L60" s="173"/>
      <c r="M60" s="173"/>
      <c r="N60" s="173"/>
    </row>
    <row r="61" spans="1:14" ht="15" customHeight="1">
      <c r="A61" s="27" t="b">
        <v>0</v>
      </c>
      <c r="B61" s="49" t="s">
        <v>303</v>
      </c>
      <c r="C61" s="23" t="s">
        <v>304</v>
      </c>
      <c r="D61" s="176" t="s">
        <v>267</v>
      </c>
      <c r="E61" s="176"/>
      <c r="F61" s="178" t="b">
        <v>1</v>
      </c>
      <c r="G61" s="178"/>
      <c r="H61" s="27" t="b">
        <v>0</v>
      </c>
      <c r="I61" s="28" t="b">
        <v>1</v>
      </c>
      <c r="J61" s="173" t="s">
        <v>305</v>
      </c>
      <c r="K61" s="173"/>
      <c r="L61" s="173"/>
      <c r="M61" s="173"/>
      <c r="N61" s="173"/>
    </row>
    <row r="62" spans="1:14" ht="15" customHeight="1">
      <c r="A62" s="27" t="b">
        <v>0</v>
      </c>
      <c r="B62" s="24" t="s">
        <v>272</v>
      </c>
      <c r="C62" s="23" t="s">
        <v>273</v>
      </c>
      <c r="D62" s="181" t="s">
        <v>267</v>
      </c>
      <c r="E62" s="181"/>
      <c r="F62" s="178" t="b">
        <v>1</v>
      </c>
      <c r="G62" s="178"/>
      <c r="H62" s="27" t="b">
        <v>0</v>
      </c>
      <c r="I62" s="28" t="b">
        <v>1</v>
      </c>
      <c r="J62" s="173" t="s">
        <v>274</v>
      </c>
      <c r="K62" s="173"/>
      <c r="L62" s="173"/>
      <c r="M62" s="173"/>
      <c r="N62" s="173"/>
    </row>
    <row r="63" spans="1:14" ht="27.75" customHeight="1"/>
    <row r="64" spans="1:14" ht="15" customHeight="1">
      <c r="B64" s="25" t="s">
        <v>253</v>
      </c>
      <c r="C64" s="172" t="s">
        <v>254</v>
      </c>
      <c r="D64" s="172"/>
      <c r="E64" s="172"/>
      <c r="F64" s="172"/>
      <c r="G64" s="172"/>
      <c r="H64" s="172"/>
    </row>
    <row r="65" spans="1:14" ht="15" customHeight="1">
      <c r="B65" s="23" t="s">
        <v>306</v>
      </c>
      <c r="C65" s="173" t="s">
        <v>307</v>
      </c>
      <c r="D65" s="173"/>
      <c r="E65" s="173"/>
      <c r="F65" s="173"/>
      <c r="G65" s="173"/>
      <c r="H65" s="173"/>
    </row>
    <row r="66" spans="1:14" ht="15" customHeight="1"/>
    <row r="67" spans="1:14" ht="15" customHeight="1">
      <c r="A67" s="25" t="s">
        <v>256</v>
      </c>
      <c r="B67" s="26" t="s">
        <v>257</v>
      </c>
      <c r="C67" s="25" t="s">
        <v>258</v>
      </c>
      <c r="D67" s="174" t="s">
        <v>259</v>
      </c>
      <c r="E67" s="174"/>
      <c r="F67" s="172" t="s">
        <v>260</v>
      </c>
      <c r="G67" s="172"/>
      <c r="H67" s="25" t="s">
        <v>261</v>
      </c>
      <c r="I67" s="25" t="s">
        <v>262</v>
      </c>
      <c r="J67" s="175" t="s">
        <v>46</v>
      </c>
      <c r="K67" s="175"/>
      <c r="L67" s="175"/>
      <c r="M67" s="175"/>
      <c r="N67" s="175"/>
    </row>
    <row r="68" spans="1:14" ht="15" customHeight="1">
      <c r="A68" s="27" t="b">
        <v>1</v>
      </c>
      <c r="B68" s="24" t="s">
        <v>308</v>
      </c>
      <c r="C68" s="23" t="s">
        <v>309</v>
      </c>
      <c r="D68" s="176" t="s">
        <v>267</v>
      </c>
      <c r="E68" s="176"/>
      <c r="F68" s="178" t="b">
        <v>1</v>
      </c>
      <c r="G68" s="178"/>
      <c r="H68" s="27" t="b">
        <v>1</v>
      </c>
      <c r="I68" s="28" t="b">
        <v>0</v>
      </c>
      <c r="J68" s="180" t="s">
        <v>268</v>
      </c>
      <c r="K68" s="180"/>
      <c r="L68" s="180"/>
      <c r="M68" s="180"/>
      <c r="N68" s="180"/>
    </row>
    <row r="69" spans="1:14" ht="15" customHeight="1">
      <c r="A69" s="27" t="b">
        <v>0</v>
      </c>
      <c r="B69" s="24" t="s">
        <v>288</v>
      </c>
      <c r="C69" s="23" t="s">
        <v>289</v>
      </c>
      <c r="D69" s="176" t="s">
        <v>267</v>
      </c>
      <c r="E69" s="176"/>
      <c r="F69" s="178" t="b">
        <v>1</v>
      </c>
      <c r="G69" s="178"/>
      <c r="H69" s="27" t="b">
        <v>0</v>
      </c>
      <c r="I69" s="28" t="b">
        <v>0</v>
      </c>
      <c r="J69" s="173" t="s">
        <v>298</v>
      </c>
      <c r="K69" s="173"/>
      <c r="L69" s="173"/>
      <c r="M69" s="173"/>
      <c r="N69" s="173"/>
    </row>
    <row r="70" spans="1:14" ht="15" customHeight="1">
      <c r="A70" s="27" t="b">
        <v>0</v>
      </c>
      <c r="B70" s="24" t="s">
        <v>294</v>
      </c>
      <c r="C70" s="23" t="s">
        <v>295</v>
      </c>
      <c r="D70" s="176" t="s">
        <v>267</v>
      </c>
      <c r="E70" s="176"/>
      <c r="F70" s="178" t="b">
        <v>1</v>
      </c>
      <c r="G70" s="178"/>
      <c r="H70" s="27" t="b">
        <v>0</v>
      </c>
      <c r="I70" s="28" t="b">
        <v>0</v>
      </c>
      <c r="J70" s="173" t="s">
        <v>298</v>
      </c>
      <c r="K70" s="173"/>
      <c r="L70" s="173"/>
      <c r="M70" s="173"/>
      <c r="N70" s="173"/>
    </row>
    <row r="71" spans="1:14" ht="15" customHeight="1">
      <c r="A71" s="27" t="b">
        <v>0</v>
      </c>
      <c r="B71" s="24" t="s">
        <v>306</v>
      </c>
      <c r="C71" s="23" t="s">
        <v>307</v>
      </c>
      <c r="D71" s="176" t="s">
        <v>267</v>
      </c>
      <c r="E71" s="176"/>
      <c r="F71" s="178" t="b">
        <v>1</v>
      </c>
      <c r="G71" s="178"/>
      <c r="H71" s="27" t="b">
        <v>0</v>
      </c>
      <c r="I71" s="28" t="b">
        <v>1</v>
      </c>
      <c r="J71" s="173" t="s">
        <v>305</v>
      </c>
      <c r="K71" s="173"/>
      <c r="L71" s="173"/>
      <c r="M71" s="173"/>
      <c r="N71" s="173"/>
    </row>
    <row r="72" spans="1:14" ht="15" customHeight="1">
      <c r="A72" s="27" t="b">
        <v>0</v>
      </c>
      <c r="B72" s="24" t="s">
        <v>272</v>
      </c>
      <c r="C72" s="23" t="s">
        <v>273</v>
      </c>
      <c r="D72" s="181" t="s">
        <v>267</v>
      </c>
      <c r="E72" s="181"/>
      <c r="F72" s="178" t="b">
        <v>1</v>
      </c>
      <c r="G72" s="178"/>
      <c r="H72" s="27" t="b">
        <v>0</v>
      </c>
      <c r="I72" s="28" t="b">
        <v>1</v>
      </c>
      <c r="J72" s="173" t="s">
        <v>305</v>
      </c>
      <c r="K72" s="173"/>
      <c r="L72" s="173"/>
      <c r="M72" s="173"/>
      <c r="N72" s="173"/>
    </row>
    <row r="73" spans="1:14" ht="31.5" customHeight="1"/>
    <row r="74" spans="1:14" ht="15" customHeight="1">
      <c r="B74" s="25" t="s">
        <v>253</v>
      </c>
      <c r="C74" s="172" t="s">
        <v>254</v>
      </c>
      <c r="D74" s="172"/>
      <c r="E74" s="172"/>
      <c r="F74" s="172"/>
      <c r="G74" s="172"/>
      <c r="H74" s="172"/>
    </row>
    <row r="75" spans="1:14" ht="15" customHeight="1">
      <c r="B75" s="23" t="s">
        <v>310</v>
      </c>
      <c r="C75" s="173" t="s">
        <v>210</v>
      </c>
      <c r="D75" s="173"/>
      <c r="E75" s="173"/>
      <c r="F75" s="173"/>
      <c r="G75" s="173"/>
      <c r="H75" s="173"/>
    </row>
    <row r="76" spans="1:14" ht="15" customHeight="1"/>
    <row r="77" spans="1:14" s="55" customFormat="1" ht="15" customHeight="1">
      <c r="A77" s="53" t="s">
        <v>256</v>
      </c>
      <c r="B77" s="54" t="s">
        <v>257</v>
      </c>
      <c r="C77" s="53" t="s">
        <v>258</v>
      </c>
      <c r="D77" s="182" t="s">
        <v>259</v>
      </c>
      <c r="E77" s="182"/>
      <c r="F77" s="182" t="s">
        <v>260</v>
      </c>
      <c r="G77" s="182"/>
      <c r="H77" s="53" t="s">
        <v>261</v>
      </c>
      <c r="I77" s="53" t="s">
        <v>262</v>
      </c>
      <c r="J77" s="183" t="s">
        <v>46</v>
      </c>
      <c r="K77" s="183"/>
      <c r="L77" s="183"/>
      <c r="M77" s="183"/>
      <c r="N77" s="183"/>
    </row>
    <row r="78" spans="1:14" ht="15" customHeight="1">
      <c r="A78" s="27" t="b">
        <v>1</v>
      </c>
      <c r="B78" s="24" t="s">
        <v>311</v>
      </c>
      <c r="C78" s="23" t="s">
        <v>312</v>
      </c>
      <c r="D78" s="176" t="s">
        <v>267</v>
      </c>
      <c r="E78" s="176"/>
      <c r="F78" s="178" t="b">
        <v>1</v>
      </c>
      <c r="G78" s="178"/>
      <c r="H78" s="27" t="b">
        <v>1</v>
      </c>
      <c r="I78" s="28" t="b">
        <v>0</v>
      </c>
      <c r="J78" s="180" t="s">
        <v>268</v>
      </c>
      <c r="K78" s="180"/>
      <c r="L78" s="180"/>
      <c r="M78" s="180"/>
      <c r="N78" s="180"/>
    </row>
    <row r="79" spans="1:14" ht="15" customHeight="1">
      <c r="A79" s="27" t="b">
        <v>0</v>
      </c>
      <c r="B79" s="24" t="s">
        <v>288</v>
      </c>
      <c r="C79" s="23" t="s">
        <v>289</v>
      </c>
      <c r="D79" s="176" t="s">
        <v>267</v>
      </c>
      <c r="E79" s="176"/>
      <c r="F79" s="178" t="b">
        <v>1</v>
      </c>
      <c r="G79" s="178"/>
      <c r="H79" s="27" t="b">
        <v>0</v>
      </c>
      <c r="I79" s="28" t="b">
        <v>0</v>
      </c>
      <c r="J79" s="173" t="s">
        <v>298</v>
      </c>
      <c r="K79" s="173"/>
      <c r="L79" s="173"/>
      <c r="M79" s="173"/>
      <c r="N79" s="173"/>
    </row>
    <row r="80" spans="1:14" ht="15" customHeight="1">
      <c r="A80" s="27" t="b">
        <v>0</v>
      </c>
      <c r="B80" s="24" t="s">
        <v>294</v>
      </c>
      <c r="C80" s="23" t="s">
        <v>295</v>
      </c>
      <c r="D80" s="176" t="s">
        <v>267</v>
      </c>
      <c r="E80" s="176"/>
      <c r="F80" s="178" t="b">
        <v>1</v>
      </c>
      <c r="G80" s="178"/>
      <c r="H80" s="27" t="b">
        <v>0</v>
      </c>
      <c r="I80" s="28" t="b">
        <v>0</v>
      </c>
      <c r="J80" s="173" t="s">
        <v>298</v>
      </c>
      <c r="K80" s="173"/>
      <c r="L80" s="173"/>
      <c r="M80" s="173"/>
      <c r="N80" s="173"/>
    </row>
    <row r="81" spans="1:14" ht="15" customHeight="1">
      <c r="A81" s="27" t="b">
        <v>0</v>
      </c>
      <c r="B81" s="24" t="s">
        <v>313</v>
      </c>
      <c r="C81" s="23" t="s">
        <v>283</v>
      </c>
      <c r="D81" s="176" t="s">
        <v>267</v>
      </c>
      <c r="E81" s="176"/>
      <c r="F81" s="178" t="b">
        <v>1</v>
      </c>
      <c r="G81" s="178"/>
      <c r="H81" s="27" t="b">
        <v>0</v>
      </c>
      <c r="I81" s="28" t="b">
        <v>0</v>
      </c>
      <c r="J81" s="173" t="s">
        <v>298</v>
      </c>
      <c r="K81" s="173"/>
      <c r="L81" s="173"/>
      <c r="M81" s="173"/>
      <c r="N81" s="173"/>
    </row>
    <row r="82" spans="1:14" ht="15" customHeight="1">
      <c r="A82" s="27" t="b">
        <v>0</v>
      </c>
      <c r="B82" s="24" t="s">
        <v>314</v>
      </c>
      <c r="C82" s="23" t="s">
        <v>315</v>
      </c>
      <c r="D82" s="176" t="s">
        <v>267</v>
      </c>
      <c r="E82" s="176"/>
      <c r="F82" s="178" t="b">
        <v>1</v>
      </c>
      <c r="G82" s="178"/>
      <c r="H82" s="27" t="b">
        <v>0</v>
      </c>
      <c r="I82" s="28" t="b">
        <v>0</v>
      </c>
      <c r="J82" s="173"/>
      <c r="K82" s="173"/>
      <c r="L82" s="173"/>
      <c r="M82" s="173"/>
      <c r="N82" s="173"/>
    </row>
    <row r="83" spans="1:14" ht="15" customHeight="1">
      <c r="A83" s="27" t="b">
        <v>0</v>
      </c>
      <c r="B83" s="24" t="s">
        <v>316</v>
      </c>
      <c r="C83" s="23" t="s">
        <v>317</v>
      </c>
      <c r="D83" s="176" t="s">
        <v>271</v>
      </c>
      <c r="E83" s="176"/>
      <c r="F83" s="178" t="b">
        <v>1</v>
      </c>
      <c r="G83" s="178"/>
      <c r="H83" s="27" t="b">
        <v>0</v>
      </c>
      <c r="I83" s="28" t="b">
        <v>0</v>
      </c>
      <c r="J83" s="173" t="s">
        <v>318</v>
      </c>
      <c r="K83" s="173"/>
      <c r="L83" s="173"/>
      <c r="M83" s="173"/>
      <c r="N83" s="173"/>
    </row>
    <row r="84" spans="1:14" ht="15" customHeight="1">
      <c r="A84" s="27" t="b">
        <v>0</v>
      </c>
      <c r="B84" s="24" t="s">
        <v>319</v>
      </c>
      <c r="C84" s="23" t="s">
        <v>320</v>
      </c>
      <c r="D84" s="176" t="s">
        <v>321</v>
      </c>
      <c r="E84" s="177"/>
      <c r="F84" s="178" t="b">
        <v>1</v>
      </c>
      <c r="G84" s="179"/>
      <c r="H84" s="27" t="b">
        <v>0</v>
      </c>
      <c r="I84" s="28" t="b">
        <v>1</v>
      </c>
      <c r="J84" s="181" t="s">
        <v>322</v>
      </c>
      <c r="K84" s="184"/>
      <c r="L84" s="184"/>
      <c r="M84" s="184"/>
      <c r="N84" s="177"/>
    </row>
    <row r="85" spans="1:14" ht="15" customHeight="1">
      <c r="A85" s="27" t="b">
        <v>0</v>
      </c>
      <c r="B85" s="24" t="s">
        <v>323</v>
      </c>
      <c r="C85" s="23" t="s">
        <v>324</v>
      </c>
      <c r="D85" s="176" t="s">
        <v>321</v>
      </c>
      <c r="E85" s="177"/>
      <c r="F85" s="178" t="b">
        <v>1</v>
      </c>
      <c r="G85" s="179"/>
      <c r="H85" s="27" t="b">
        <v>0</v>
      </c>
      <c r="I85" s="28" t="b">
        <v>1</v>
      </c>
      <c r="J85" s="181" t="s">
        <v>322</v>
      </c>
      <c r="K85" s="184"/>
      <c r="L85" s="184"/>
      <c r="M85" s="184"/>
      <c r="N85" s="177"/>
    </row>
    <row r="86" spans="1:14" ht="15" customHeight="1">
      <c r="A86" s="27" t="b">
        <v>0</v>
      </c>
      <c r="B86" s="24" t="s">
        <v>272</v>
      </c>
      <c r="C86" s="23" t="s">
        <v>273</v>
      </c>
      <c r="D86" s="181" t="s">
        <v>267</v>
      </c>
      <c r="E86" s="177"/>
      <c r="F86" s="178" t="b">
        <v>1</v>
      </c>
      <c r="G86" s="179"/>
      <c r="H86" s="27" t="b">
        <v>0</v>
      </c>
      <c r="I86" s="28" t="b">
        <v>1</v>
      </c>
      <c r="J86" s="173" t="s">
        <v>305</v>
      </c>
      <c r="K86" s="173"/>
      <c r="L86" s="173"/>
      <c r="M86" s="173"/>
      <c r="N86" s="173"/>
    </row>
    <row r="87" spans="1:14" ht="15" customHeight="1"/>
    <row r="88" spans="1:14" ht="15" customHeight="1"/>
    <row r="89" spans="1:14" ht="27.75" customHeight="1"/>
    <row r="90" spans="1:14" ht="15" customHeight="1">
      <c r="B90" s="25" t="s">
        <v>253</v>
      </c>
      <c r="C90" s="172" t="s">
        <v>254</v>
      </c>
      <c r="D90" s="172"/>
      <c r="E90" s="172"/>
      <c r="F90" s="172"/>
      <c r="G90" s="172"/>
      <c r="H90" s="172"/>
    </row>
    <row r="91" spans="1:14" ht="15" customHeight="1">
      <c r="B91" s="23" t="s">
        <v>325</v>
      </c>
      <c r="C91" s="173" t="s">
        <v>171</v>
      </c>
      <c r="D91" s="173"/>
      <c r="E91" s="173"/>
      <c r="F91" s="173"/>
      <c r="G91" s="173"/>
      <c r="H91" s="173"/>
    </row>
    <row r="92" spans="1:14" ht="15" customHeight="1"/>
    <row r="93" spans="1:14" ht="15" customHeight="1">
      <c r="A93" s="25" t="s">
        <v>256</v>
      </c>
      <c r="B93" s="26" t="s">
        <v>257</v>
      </c>
      <c r="C93" s="25" t="s">
        <v>258</v>
      </c>
      <c r="D93" s="174" t="s">
        <v>259</v>
      </c>
      <c r="E93" s="174"/>
      <c r="F93" s="172" t="s">
        <v>260</v>
      </c>
      <c r="G93" s="172"/>
      <c r="H93" s="25" t="s">
        <v>261</v>
      </c>
      <c r="I93" s="25" t="s">
        <v>262</v>
      </c>
      <c r="J93" s="175" t="s">
        <v>46</v>
      </c>
      <c r="K93" s="175"/>
      <c r="L93" s="175"/>
      <c r="M93" s="175"/>
      <c r="N93" s="175"/>
    </row>
    <row r="94" spans="1:14" ht="15" customHeight="1">
      <c r="A94" s="27" t="b">
        <v>1</v>
      </c>
      <c r="B94" s="24" t="s">
        <v>326</v>
      </c>
      <c r="C94" s="23" t="s">
        <v>327</v>
      </c>
      <c r="D94" s="176" t="s">
        <v>267</v>
      </c>
      <c r="E94" s="177"/>
      <c r="F94" s="178" t="b">
        <v>1</v>
      </c>
      <c r="G94" s="179"/>
      <c r="H94" s="27" t="b">
        <v>1</v>
      </c>
      <c r="I94" s="28" t="b">
        <v>0</v>
      </c>
      <c r="J94" s="180"/>
      <c r="K94" s="180"/>
      <c r="L94" s="180"/>
      <c r="M94" s="180"/>
      <c r="N94" s="180"/>
    </row>
    <row r="95" spans="1:14" ht="15" customHeight="1">
      <c r="A95" s="27" t="b">
        <v>0</v>
      </c>
      <c r="B95" s="24" t="s">
        <v>328</v>
      </c>
      <c r="C95" s="23" t="s">
        <v>329</v>
      </c>
      <c r="D95" s="176" t="s">
        <v>271</v>
      </c>
      <c r="E95" s="177"/>
      <c r="F95" s="178" t="b">
        <v>1</v>
      </c>
      <c r="G95" s="179"/>
      <c r="H95" s="27" t="b">
        <v>0</v>
      </c>
      <c r="I95" s="28" t="b">
        <v>0</v>
      </c>
      <c r="J95" s="173"/>
      <c r="K95" s="173"/>
      <c r="L95" s="173"/>
      <c r="M95" s="173"/>
      <c r="N95" s="173"/>
    </row>
    <row r="96" spans="1:14" ht="15" customHeight="1">
      <c r="A96" s="27" t="b">
        <v>0</v>
      </c>
      <c r="B96" s="24" t="s">
        <v>330</v>
      </c>
      <c r="C96" s="23" t="s">
        <v>4</v>
      </c>
      <c r="D96" s="176" t="s">
        <v>331</v>
      </c>
      <c r="E96" s="177"/>
      <c r="F96" s="178" t="b">
        <v>1</v>
      </c>
      <c r="G96" s="179" t="b">
        <v>0</v>
      </c>
      <c r="H96" s="27" t="b">
        <v>0</v>
      </c>
      <c r="I96" s="28" t="b">
        <v>0</v>
      </c>
      <c r="J96" s="173"/>
      <c r="K96" s="173"/>
      <c r="L96" s="173"/>
      <c r="M96" s="173"/>
      <c r="N96" s="173"/>
    </row>
    <row r="97" spans="1:14" ht="15" customHeight="1">
      <c r="A97" s="27" t="b">
        <v>0</v>
      </c>
      <c r="B97" s="24" t="s">
        <v>332</v>
      </c>
      <c r="C97" s="23" t="s">
        <v>333</v>
      </c>
      <c r="D97" s="176" t="s">
        <v>271</v>
      </c>
      <c r="E97" s="177"/>
      <c r="F97" s="178" t="b">
        <v>1</v>
      </c>
      <c r="G97" s="179"/>
      <c r="H97" s="27" t="b">
        <v>0</v>
      </c>
      <c r="I97" s="28" t="b">
        <v>0</v>
      </c>
      <c r="J97" s="173"/>
      <c r="K97" s="173"/>
      <c r="L97" s="173"/>
      <c r="M97" s="173"/>
      <c r="N97" s="173"/>
    </row>
    <row r="98" spans="1:14" ht="15" customHeight="1">
      <c r="A98" s="27" t="b">
        <v>0</v>
      </c>
      <c r="B98" s="24" t="s">
        <v>277</v>
      </c>
      <c r="C98" s="23" t="s">
        <v>278</v>
      </c>
      <c r="D98" s="176" t="s">
        <v>267</v>
      </c>
      <c r="E98" s="177"/>
      <c r="F98" s="178" t="b">
        <v>1</v>
      </c>
      <c r="G98" s="179"/>
      <c r="H98" s="27" t="b">
        <v>0</v>
      </c>
      <c r="I98" s="28" t="b">
        <v>0</v>
      </c>
      <c r="J98" s="173" t="s">
        <v>298</v>
      </c>
      <c r="K98" s="173"/>
      <c r="L98" s="173"/>
      <c r="M98" s="173"/>
      <c r="N98" s="173"/>
    </row>
    <row r="99" spans="1:14" ht="15" customHeight="1">
      <c r="A99" s="27" t="b">
        <v>0</v>
      </c>
      <c r="B99" s="24" t="s">
        <v>282</v>
      </c>
      <c r="C99" s="23" t="s">
        <v>283</v>
      </c>
      <c r="D99" s="176" t="s">
        <v>267</v>
      </c>
      <c r="E99" s="177"/>
      <c r="F99" s="178" t="b">
        <v>0</v>
      </c>
      <c r="G99" s="179"/>
      <c r="H99" s="27" t="b">
        <v>0</v>
      </c>
      <c r="I99" s="28" t="b">
        <v>1</v>
      </c>
      <c r="J99" s="173" t="s">
        <v>334</v>
      </c>
      <c r="K99" s="173"/>
      <c r="L99" s="173"/>
      <c r="M99" s="173"/>
      <c r="N99" s="173"/>
    </row>
    <row r="100" spans="1:14" ht="15" customHeight="1">
      <c r="A100" s="27" t="b">
        <v>0</v>
      </c>
      <c r="B100" s="24" t="s">
        <v>288</v>
      </c>
      <c r="C100" s="23" t="s">
        <v>289</v>
      </c>
      <c r="D100" s="176" t="s">
        <v>267</v>
      </c>
      <c r="E100" s="177"/>
      <c r="F100" s="178" t="b">
        <v>0</v>
      </c>
      <c r="G100" s="179"/>
      <c r="H100" s="27" t="b">
        <v>0</v>
      </c>
      <c r="I100" s="28" t="b">
        <v>1</v>
      </c>
      <c r="J100" s="173" t="s">
        <v>334</v>
      </c>
      <c r="K100" s="173"/>
      <c r="L100" s="173"/>
      <c r="M100" s="173"/>
      <c r="N100" s="173"/>
    </row>
    <row r="101" spans="1:14" ht="15" customHeight="1">
      <c r="A101" s="27" t="b">
        <v>0</v>
      </c>
      <c r="B101" s="24" t="s">
        <v>272</v>
      </c>
      <c r="C101" s="23" t="s">
        <v>273</v>
      </c>
      <c r="D101" s="181" t="s">
        <v>267</v>
      </c>
      <c r="E101" s="177"/>
      <c r="F101" s="178" t="b">
        <v>1</v>
      </c>
      <c r="G101" s="179"/>
      <c r="H101" s="27" t="b">
        <v>0</v>
      </c>
      <c r="I101" s="28" t="b">
        <v>1</v>
      </c>
      <c r="J101" s="176" t="s">
        <v>274</v>
      </c>
      <c r="K101" s="184"/>
      <c r="L101" s="184"/>
      <c r="M101" s="184"/>
      <c r="N101" s="177"/>
    </row>
    <row r="102" spans="1:14" ht="33" customHeight="1">
      <c r="F102" s="24"/>
    </row>
    <row r="103" spans="1:14" ht="15" customHeight="1">
      <c r="B103" s="25" t="s">
        <v>253</v>
      </c>
      <c r="C103" s="172" t="s">
        <v>254</v>
      </c>
      <c r="D103" s="172"/>
      <c r="E103" s="172"/>
      <c r="F103" s="172"/>
      <c r="G103" s="172"/>
      <c r="H103" s="172"/>
    </row>
    <row r="104" spans="1:14" ht="15" customHeight="1">
      <c r="B104" s="23" t="s">
        <v>335</v>
      </c>
      <c r="C104" s="173" t="s">
        <v>336</v>
      </c>
      <c r="D104" s="173"/>
      <c r="E104" s="173"/>
      <c r="F104" s="173"/>
      <c r="G104" s="173"/>
      <c r="H104" s="173"/>
    </row>
    <row r="105" spans="1:14" ht="15" customHeight="1"/>
    <row r="106" spans="1:14" ht="15" customHeight="1">
      <c r="A106" s="25" t="s">
        <v>256</v>
      </c>
      <c r="B106" s="26" t="s">
        <v>257</v>
      </c>
      <c r="C106" s="25" t="s">
        <v>258</v>
      </c>
      <c r="D106" s="174" t="s">
        <v>259</v>
      </c>
      <c r="E106" s="174"/>
      <c r="F106" s="172" t="s">
        <v>260</v>
      </c>
      <c r="G106" s="172"/>
      <c r="H106" s="25" t="s">
        <v>261</v>
      </c>
      <c r="I106" s="25" t="s">
        <v>262</v>
      </c>
      <c r="J106" s="175" t="s">
        <v>46</v>
      </c>
      <c r="K106" s="175"/>
      <c r="L106" s="175"/>
      <c r="M106" s="175"/>
      <c r="N106" s="175"/>
    </row>
    <row r="107" spans="1:14" ht="15" customHeight="1">
      <c r="A107" s="27" t="b">
        <v>1</v>
      </c>
      <c r="B107" s="24" t="s">
        <v>337</v>
      </c>
      <c r="C107" s="23" t="s">
        <v>338</v>
      </c>
      <c r="D107" s="176" t="s">
        <v>267</v>
      </c>
      <c r="E107" s="177"/>
      <c r="F107" s="178" t="b">
        <v>1</v>
      </c>
      <c r="G107" s="179"/>
      <c r="H107" s="27" t="b">
        <v>1</v>
      </c>
      <c r="I107" s="28" t="b">
        <v>0</v>
      </c>
      <c r="J107" s="180" t="s">
        <v>268</v>
      </c>
      <c r="K107" s="180"/>
      <c r="L107" s="180"/>
      <c r="M107" s="180"/>
      <c r="N107" s="180"/>
    </row>
    <row r="108" spans="1:14" ht="15" customHeight="1">
      <c r="A108" s="27" t="b">
        <v>0</v>
      </c>
      <c r="B108" s="24" t="s">
        <v>326</v>
      </c>
      <c r="C108" s="23" t="s">
        <v>327</v>
      </c>
      <c r="D108" s="176" t="s">
        <v>267</v>
      </c>
      <c r="E108" s="177"/>
      <c r="F108" s="178" t="b">
        <v>0</v>
      </c>
      <c r="G108" s="179"/>
      <c r="H108" s="27" t="b">
        <v>0</v>
      </c>
      <c r="I108" s="28" t="b">
        <v>0</v>
      </c>
      <c r="J108" s="173" t="s">
        <v>298</v>
      </c>
      <c r="K108" s="173"/>
      <c r="L108" s="173"/>
      <c r="M108" s="173"/>
      <c r="N108" s="173"/>
    </row>
    <row r="109" spans="1:14" ht="15" customHeight="1">
      <c r="A109" s="27" t="b">
        <v>0</v>
      </c>
      <c r="B109" s="24" t="s">
        <v>339</v>
      </c>
      <c r="C109" s="23" t="s">
        <v>340</v>
      </c>
      <c r="D109" s="176" t="s">
        <v>267</v>
      </c>
      <c r="E109" s="177"/>
      <c r="F109" s="178" t="b">
        <v>1</v>
      </c>
      <c r="G109" s="179"/>
      <c r="H109" s="27" t="b">
        <v>0</v>
      </c>
      <c r="I109" s="28" t="b">
        <v>0</v>
      </c>
      <c r="J109" s="173" t="s">
        <v>298</v>
      </c>
      <c r="K109" s="173"/>
      <c r="L109" s="173"/>
      <c r="M109" s="173"/>
      <c r="N109" s="173"/>
    </row>
    <row r="110" spans="1:14" ht="15" customHeight="1">
      <c r="A110" s="27" t="b">
        <v>0</v>
      </c>
      <c r="B110" t="s">
        <v>341</v>
      </c>
      <c r="C110" s="23" t="s">
        <v>342</v>
      </c>
      <c r="D110" s="176" t="s">
        <v>271</v>
      </c>
      <c r="E110" s="177"/>
      <c r="F110" s="178" t="b">
        <v>1</v>
      </c>
      <c r="G110" s="179"/>
      <c r="H110" s="27" t="b">
        <v>0</v>
      </c>
      <c r="I110" s="28" t="b">
        <v>0</v>
      </c>
      <c r="J110" s="173"/>
      <c r="K110" s="173"/>
      <c r="L110" s="173"/>
      <c r="M110" s="173"/>
      <c r="N110" s="173"/>
    </row>
    <row r="111" spans="1:14" ht="15" customHeight="1">
      <c r="A111" s="27" t="b">
        <v>0</v>
      </c>
      <c r="B111" s="24" t="s">
        <v>343</v>
      </c>
      <c r="C111" s="23" t="s">
        <v>344</v>
      </c>
      <c r="D111" s="176" t="s">
        <v>321</v>
      </c>
      <c r="E111" s="177"/>
      <c r="F111" s="178" t="b">
        <v>1</v>
      </c>
      <c r="G111" s="179"/>
      <c r="H111" s="27" t="b">
        <v>0</v>
      </c>
      <c r="I111" s="28" t="b">
        <v>0</v>
      </c>
      <c r="J111" s="181" t="s">
        <v>322</v>
      </c>
      <c r="K111" s="184"/>
      <c r="L111" s="184"/>
      <c r="M111" s="184"/>
      <c r="N111" s="177"/>
    </row>
    <row r="112" spans="1:14" ht="15" customHeight="1">
      <c r="A112" s="27" t="b">
        <v>0</v>
      </c>
      <c r="B112" s="24" t="s">
        <v>345</v>
      </c>
      <c r="C112" s="23" t="s">
        <v>80</v>
      </c>
      <c r="D112" s="176" t="s">
        <v>271</v>
      </c>
      <c r="E112" s="177"/>
      <c r="F112" s="178" t="b">
        <v>1</v>
      </c>
      <c r="G112" s="179"/>
      <c r="H112" s="27" t="b">
        <v>0</v>
      </c>
      <c r="I112" s="28" t="b">
        <v>1</v>
      </c>
      <c r="J112" s="173" t="s">
        <v>346</v>
      </c>
      <c r="K112" s="173"/>
      <c r="L112" s="173"/>
      <c r="M112" s="173"/>
      <c r="N112" s="173"/>
    </row>
    <row r="113" spans="1:14" ht="15" customHeight="1">
      <c r="A113" s="27" t="b">
        <v>0</v>
      </c>
      <c r="B113" s="24" t="s">
        <v>277</v>
      </c>
      <c r="C113" s="23" t="s">
        <v>278</v>
      </c>
      <c r="D113" s="176" t="s">
        <v>267</v>
      </c>
      <c r="E113" s="177"/>
      <c r="F113" s="178" t="b">
        <v>1</v>
      </c>
      <c r="G113" s="179"/>
      <c r="H113" s="27" t="b">
        <v>0</v>
      </c>
      <c r="I113" s="28" t="b">
        <v>0</v>
      </c>
      <c r="J113" s="173" t="s">
        <v>298</v>
      </c>
      <c r="K113" s="173"/>
      <c r="L113" s="173"/>
      <c r="M113" s="173"/>
      <c r="N113" s="173"/>
    </row>
    <row r="114" spans="1:14" ht="15" customHeight="1">
      <c r="A114" s="27" t="b">
        <v>0</v>
      </c>
      <c r="B114" s="24" t="s">
        <v>288</v>
      </c>
      <c r="C114" s="23" t="s">
        <v>289</v>
      </c>
      <c r="D114" s="176" t="s">
        <v>267</v>
      </c>
      <c r="E114" s="177"/>
      <c r="F114" s="178" t="b">
        <v>0</v>
      </c>
      <c r="G114" s="179"/>
      <c r="H114" s="27" t="b">
        <v>0</v>
      </c>
      <c r="I114" s="28" t="b">
        <v>1</v>
      </c>
      <c r="J114" s="173" t="s">
        <v>347</v>
      </c>
      <c r="K114" s="173"/>
      <c r="L114" s="173"/>
      <c r="M114" s="173"/>
      <c r="N114" s="173"/>
    </row>
    <row r="115" spans="1:14" ht="15" customHeight="1">
      <c r="A115" s="27" t="b">
        <v>0</v>
      </c>
      <c r="B115" s="24" t="s">
        <v>282</v>
      </c>
      <c r="C115" s="23" t="s">
        <v>283</v>
      </c>
      <c r="D115" s="176" t="s">
        <v>267</v>
      </c>
      <c r="E115" s="177"/>
      <c r="F115" s="178" t="b">
        <v>0</v>
      </c>
      <c r="G115" s="179"/>
      <c r="H115" s="27" t="b">
        <v>0</v>
      </c>
      <c r="I115" s="28" t="b">
        <v>1</v>
      </c>
      <c r="J115" s="173" t="s">
        <v>347</v>
      </c>
      <c r="K115" s="173"/>
      <c r="L115" s="173"/>
      <c r="M115" s="173"/>
      <c r="N115" s="173"/>
    </row>
    <row r="116" spans="1:14" ht="15" customHeight="1">
      <c r="A116" s="27" t="b">
        <v>0</v>
      </c>
      <c r="B116" s="24" t="s">
        <v>272</v>
      </c>
      <c r="C116" s="23" t="s">
        <v>273</v>
      </c>
      <c r="D116" s="181" t="s">
        <v>267</v>
      </c>
      <c r="E116" s="177"/>
      <c r="F116" s="178" t="b">
        <v>1</v>
      </c>
      <c r="G116" s="179"/>
      <c r="H116" s="27" t="b">
        <v>0</v>
      </c>
      <c r="I116" s="28" t="b">
        <v>1</v>
      </c>
      <c r="J116" s="173" t="s">
        <v>305</v>
      </c>
      <c r="K116" s="173"/>
      <c r="L116" s="173"/>
      <c r="M116" s="173"/>
      <c r="N116" s="173"/>
    </row>
    <row r="117" spans="1:14" ht="32.25" customHeight="1"/>
    <row r="118" spans="1:14" ht="15" customHeight="1">
      <c r="B118" s="25" t="s">
        <v>253</v>
      </c>
      <c r="C118" s="172" t="s">
        <v>254</v>
      </c>
      <c r="D118" s="172"/>
      <c r="E118" s="172"/>
      <c r="F118" s="172"/>
      <c r="G118" s="172"/>
      <c r="H118" s="172"/>
    </row>
    <row r="119" spans="1:14" ht="15" customHeight="1">
      <c r="B119" s="23" t="s">
        <v>348</v>
      </c>
      <c r="C119" s="173" t="s">
        <v>349</v>
      </c>
      <c r="D119" s="173"/>
      <c r="E119" s="173"/>
      <c r="F119" s="173"/>
      <c r="G119" s="173"/>
      <c r="H119" s="173"/>
    </row>
    <row r="120" spans="1:14" ht="15" customHeight="1"/>
    <row r="121" spans="1:14">
      <c r="A121" s="25" t="s">
        <v>256</v>
      </c>
      <c r="B121" s="26" t="s">
        <v>257</v>
      </c>
      <c r="C121" s="25" t="s">
        <v>258</v>
      </c>
      <c r="D121" s="174" t="s">
        <v>259</v>
      </c>
      <c r="E121" s="174"/>
      <c r="F121" s="172" t="s">
        <v>260</v>
      </c>
      <c r="G121" s="172"/>
      <c r="H121" s="25" t="s">
        <v>261</v>
      </c>
      <c r="I121" s="25" t="s">
        <v>262</v>
      </c>
      <c r="J121" s="175" t="s">
        <v>46</v>
      </c>
      <c r="K121" s="175"/>
      <c r="L121" s="175"/>
      <c r="M121" s="175"/>
      <c r="N121" s="175"/>
    </row>
    <row r="122" spans="1:14">
      <c r="A122" s="27" t="b">
        <v>1</v>
      </c>
      <c r="B122" s="24" t="s">
        <v>350</v>
      </c>
      <c r="C122" s="23" t="s">
        <v>351</v>
      </c>
      <c r="D122" s="176" t="s">
        <v>267</v>
      </c>
      <c r="E122" s="177"/>
      <c r="F122" s="178" t="b">
        <v>1</v>
      </c>
      <c r="G122" s="179"/>
      <c r="H122" s="27" t="b">
        <v>1</v>
      </c>
      <c r="I122" s="28" t="b">
        <v>0</v>
      </c>
      <c r="J122" s="180" t="s">
        <v>268</v>
      </c>
      <c r="K122" s="180"/>
      <c r="L122" s="180"/>
      <c r="M122" s="180"/>
      <c r="N122" s="180"/>
    </row>
    <row r="123" spans="1:14">
      <c r="A123" s="27" t="b">
        <v>0</v>
      </c>
      <c r="B123" s="24" t="s">
        <v>288</v>
      </c>
      <c r="C123" s="23" t="s">
        <v>289</v>
      </c>
      <c r="D123" s="176" t="s">
        <v>267</v>
      </c>
      <c r="E123" s="177"/>
      <c r="F123" s="178" t="b">
        <v>1</v>
      </c>
      <c r="G123" s="179"/>
      <c r="H123" s="27" t="b">
        <v>0</v>
      </c>
      <c r="I123" s="28" t="b">
        <v>0</v>
      </c>
      <c r="J123" s="173" t="s">
        <v>298</v>
      </c>
      <c r="K123" s="173"/>
      <c r="L123" s="173"/>
      <c r="M123" s="173"/>
      <c r="N123" s="173"/>
    </row>
    <row r="124" spans="1:14">
      <c r="A124" s="27" t="b">
        <v>0</v>
      </c>
      <c r="B124" s="24" t="s">
        <v>282</v>
      </c>
      <c r="C124" s="23" t="s">
        <v>283</v>
      </c>
      <c r="D124" s="176" t="s">
        <v>267</v>
      </c>
      <c r="E124" s="177"/>
      <c r="F124" s="178" t="b">
        <v>1</v>
      </c>
      <c r="G124" s="179"/>
      <c r="H124" s="27" t="b">
        <v>0</v>
      </c>
      <c r="I124" s="28" t="b">
        <v>0</v>
      </c>
      <c r="J124" s="173" t="s">
        <v>298</v>
      </c>
      <c r="K124" s="173"/>
      <c r="L124" s="173"/>
      <c r="M124" s="173"/>
      <c r="N124" s="173"/>
    </row>
    <row r="125" spans="1:14">
      <c r="A125" s="27" t="b">
        <v>0</v>
      </c>
      <c r="B125" s="24" t="s">
        <v>272</v>
      </c>
      <c r="C125" s="23" t="s">
        <v>273</v>
      </c>
      <c r="D125" s="181" t="s">
        <v>267</v>
      </c>
      <c r="E125" s="177"/>
      <c r="F125" s="178" t="b">
        <v>1</v>
      </c>
      <c r="G125" s="179"/>
      <c r="H125" s="27" t="b">
        <v>0</v>
      </c>
      <c r="I125" s="28" t="b">
        <v>1</v>
      </c>
      <c r="J125" s="173" t="s">
        <v>305</v>
      </c>
      <c r="K125" s="173"/>
      <c r="L125" s="173"/>
      <c r="M125" s="173"/>
      <c r="N125" s="173"/>
    </row>
    <row r="128" spans="1:14">
      <c r="B128" s="25" t="s">
        <v>253</v>
      </c>
      <c r="C128" s="172" t="s">
        <v>254</v>
      </c>
      <c r="D128" s="172"/>
      <c r="E128" s="172"/>
      <c r="F128" s="172"/>
      <c r="G128" s="172"/>
      <c r="H128" s="172"/>
    </row>
    <row r="129" spans="1:14" ht="13.5" customHeight="1">
      <c r="B129" s="23" t="s">
        <v>352</v>
      </c>
      <c r="C129" s="173" t="s">
        <v>243</v>
      </c>
      <c r="D129" s="173"/>
      <c r="E129" s="173"/>
      <c r="F129" s="173"/>
      <c r="G129" s="173"/>
      <c r="H129" s="173"/>
    </row>
    <row r="131" spans="1:14">
      <c r="A131" s="25" t="s">
        <v>256</v>
      </c>
      <c r="B131" s="26" t="s">
        <v>257</v>
      </c>
      <c r="C131" s="25" t="s">
        <v>258</v>
      </c>
      <c r="D131" s="174" t="s">
        <v>259</v>
      </c>
      <c r="E131" s="174"/>
      <c r="F131" s="172" t="s">
        <v>260</v>
      </c>
      <c r="G131" s="172"/>
      <c r="H131" s="25" t="s">
        <v>261</v>
      </c>
      <c r="I131" s="25" t="s">
        <v>262</v>
      </c>
      <c r="J131" s="175" t="s">
        <v>46</v>
      </c>
      <c r="K131" s="175"/>
      <c r="L131" s="175"/>
      <c r="M131" s="175"/>
      <c r="N131" s="175"/>
    </row>
    <row r="132" spans="1:14">
      <c r="A132" s="27" t="b">
        <v>1</v>
      </c>
      <c r="B132" s="24" t="s">
        <v>353</v>
      </c>
      <c r="C132" s="23" t="s">
        <v>354</v>
      </c>
      <c r="D132" s="176" t="s">
        <v>267</v>
      </c>
      <c r="E132" s="177"/>
      <c r="F132" s="178" t="b">
        <v>1</v>
      </c>
      <c r="G132" s="179"/>
      <c r="H132" s="27" t="b">
        <v>1</v>
      </c>
      <c r="I132" s="28" t="b">
        <v>0</v>
      </c>
      <c r="J132" s="180"/>
      <c r="K132" s="180"/>
      <c r="L132" s="180"/>
      <c r="M132" s="180"/>
      <c r="N132" s="180"/>
    </row>
    <row r="133" spans="1:14">
      <c r="A133" s="27" t="b">
        <v>0</v>
      </c>
      <c r="B133" s="24" t="s">
        <v>355</v>
      </c>
      <c r="C133" s="23" t="s">
        <v>356</v>
      </c>
      <c r="D133" s="176" t="s">
        <v>357</v>
      </c>
      <c r="E133" s="177"/>
      <c r="F133" s="178" t="b">
        <v>1</v>
      </c>
      <c r="G133" s="179"/>
      <c r="H133" s="27" t="b">
        <v>0</v>
      </c>
      <c r="I133" s="28" t="b">
        <v>0</v>
      </c>
      <c r="J133" s="173"/>
      <c r="K133" s="173"/>
      <c r="L133" s="173"/>
      <c r="M133" s="173"/>
      <c r="N133" s="173"/>
    </row>
    <row r="134" spans="1:14">
      <c r="A134" s="27" t="b">
        <v>0</v>
      </c>
      <c r="B134" s="24" t="s">
        <v>288</v>
      </c>
      <c r="C134" s="23" t="s">
        <v>289</v>
      </c>
      <c r="D134" s="176" t="s">
        <v>267</v>
      </c>
      <c r="E134" s="177"/>
      <c r="F134" s="178" t="b">
        <v>1</v>
      </c>
      <c r="G134" s="179"/>
      <c r="H134" s="27" t="b">
        <v>0</v>
      </c>
      <c r="I134" s="28" t="b">
        <v>0</v>
      </c>
      <c r="J134" s="173" t="s">
        <v>298</v>
      </c>
      <c r="K134" s="173"/>
      <c r="L134" s="173"/>
      <c r="M134" s="173"/>
      <c r="N134" s="173"/>
    </row>
    <row r="135" spans="1:14">
      <c r="A135" s="27" t="b">
        <v>0</v>
      </c>
      <c r="B135" s="24" t="s">
        <v>294</v>
      </c>
      <c r="C135" s="23" t="s">
        <v>295</v>
      </c>
      <c r="D135" s="176" t="s">
        <v>267</v>
      </c>
      <c r="E135" s="177"/>
      <c r="F135" s="178" t="b">
        <v>1</v>
      </c>
      <c r="G135" s="179"/>
      <c r="H135" s="27" t="b">
        <v>0</v>
      </c>
      <c r="I135" s="28" t="b">
        <v>0</v>
      </c>
      <c r="J135" s="173" t="s">
        <v>298</v>
      </c>
      <c r="K135" s="173"/>
      <c r="L135" s="173"/>
      <c r="M135" s="173"/>
      <c r="N135" s="173"/>
    </row>
    <row r="136" spans="1:14">
      <c r="A136" s="27" t="b">
        <v>0</v>
      </c>
      <c r="B136" s="24" t="s">
        <v>358</v>
      </c>
      <c r="C136" s="23" t="s">
        <v>359</v>
      </c>
      <c r="D136" s="176" t="s">
        <v>267</v>
      </c>
      <c r="E136" s="177"/>
      <c r="F136" s="178" t="b">
        <v>1</v>
      </c>
      <c r="G136" s="179"/>
      <c r="H136" s="27" t="b">
        <v>0</v>
      </c>
      <c r="I136" s="28" t="b">
        <v>0</v>
      </c>
      <c r="J136" s="173"/>
      <c r="K136" s="173"/>
      <c r="L136" s="173"/>
      <c r="M136" s="173"/>
      <c r="N136" s="173"/>
    </row>
  </sheetData>
  <mergeCells count="258">
    <mergeCell ref="F100:G100"/>
    <mergeCell ref="D111:E111"/>
    <mergeCell ref="F111:G111"/>
    <mergeCell ref="J111:N111"/>
    <mergeCell ref="D112:E112"/>
    <mergeCell ref="D116:E116"/>
    <mergeCell ref="F116:G116"/>
    <mergeCell ref="J116:N116"/>
    <mergeCell ref="J100:N100"/>
    <mergeCell ref="F115:G115"/>
    <mergeCell ref="J115:N115"/>
    <mergeCell ref="D114:E114"/>
    <mergeCell ref="F114:G114"/>
    <mergeCell ref="J114:N114"/>
    <mergeCell ref="D113:E113"/>
    <mergeCell ref="F113:G113"/>
    <mergeCell ref="J113:N113"/>
    <mergeCell ref="F112:G112"/>
    <mergeCell ref="J112:N112"/>
    <mergeCell ref="F108:G108"/>
    <mergeCell ref="J108:N108"/>
    <mergeCell ref="F109:G109"/>
    <mergeCell ref="J109:N109"/>
    <mergeCell ref="F110:G110"/>
    <mergeCell ref="J110:N110"/>
    <mergeCell ref="D70:E70"/>
    <mergeCell ref="F70:G70"/>
    <mergeCell ref="J70:N70"/>
    <mergeCell ref="D96:E96"/>
    <mergeCell ref="F96:G96"/>
    <mergeCell ref="J83:N83"/>
    <mergeCell ref="D107:E107"/>
    <mergeCell ref="F107:G107"/>
    <mergeCell ref="D84:E84"/>
    <mergeCell ref="C90:H90"/>
    <mergeCell ref="C91:H91"/>
    <mergeCell ref="D93:E93"/>
    <mergeCell ref="F93:G93"/>
    <mergeCell ref="J93:N93"/>
    <mergeCell ref="D94:E94"/>
    <mergeCell ref="F94:G94"/>
    <mergeCell ref="J94:N94"/>
    <mergeCell ref="D109:E109"/>
    <mergeCell ref="J99:N99"/>
    <mergeCell ref="D100:E100"/>
    <mergeCell ref="D95:E95"/>
    <mergeCell ref="F95:G95"/>
    <mergeCell ref="J95:N95"/>
    <mergeCell ref="D115:E115"/>
    <mergeCell ref="D86:E86"/>
    <mergeCell ref="F86:G86"/>
    <mergeCell ref="J86:N86"/>
    <mergeCell ref="D101:E101"/>
    <mergeCell ref="F101:G101"/>
    <mergeCell ref="J101:N101"/>
    <mergeCell ref="C103:H103"/>
    <mergeCell ref="C104:H104"/>
    <mergeCell ref="D106:E106"/>
    <mergeCell ref="F106:G106"/>
    <mergeCell ref="J106:N106"/>
    <mergeCell ref="J96:N96"/>
    <mergeCell ref="D98:E98"/>
    <mergeCell ref="F98:G98"/>
    <mergeCell ref="J98:N98"/>
    <mergeCell ref="D99:E99"/>
    <mergeCell ref="F99:G99"/>
    <mergeCell ref="D97:E97"/>
    <mergeCell ref="F97:G97"/>
    <mergeCell ref="J97:N97"/>
    <mergeCell ref="D110:E110"/>
    <mergeCell ref="J107:N107"/>
    <mergeCell ref="D108:E108"/>
    <mergeCell ref="F84:G84"/>
    <mergeCell ref="J84:N84"/>
    <mergeCell ref="D85:E85"/>
    <mergeCell ref="F85:G85"/>
    <mergeCell ref="J85:N85"/>
    <mergeCell ref="D80:E80"/>
    <mergeCell ref="D81:E81"/>
    <mergeCell ref="D82:E82"/>
    <mergeCell ref="D83:E83"/>
    <mergeCell ref="F83:G83"/>
    <mergeCell ref="F80:G80"/>
    <mergeCell ref="F81:G81"/>
    <mergeCell ref="F82:G82"/>
    <mergeCell ref="J80:N80"/>
    <mergeCell ref="J81:N81"/>
    <mergeCell ref="J82:N82"/>
    <mergeCell ref="C75:H75"/>
    <mergeCell ref="D77:E77"/>
    <mergeCell ref="F77:G77"/>
    <mergeCell ref="J77:N77"/>
    <mergeCell ref="D78:E78"/>
    <mergeCell ref="F78:G78"/>
    <mergeCell ref="J78:N78"/>
    <mergeCell ref="D79:E79"/>
    <mergeCell ref="F79:G79"/>
    <mergeCell ref="J79:N79"/>
    <mergeCell ref="C74:H74"/>
    <mergeCell ref="D61:E61"/>
    <mergeCell ref="F61:G61"/>
    <mergeCell ref="J61:N61"/>
    <mergeCell ref="C64:H64"/>
    <mergeCell ref="C65:H65"/>
    <mergeCell ref="D62:E62"/>
    <mergeCell ref="F62:G62"/>
    <mergeCell ref="J62:N62"/>
    <mergeCell ref="D72:E72"/>
    <mergeCell ref="F72:G72"/>
    <mergeCell ref="J72:N72"/>
    <mergeCell ref="D67:E67"/>
    <mergeCell ref="F67:G67"/>
    <mergeCell ref="J67:N67"/>
    <mergeCell ref="D68:E68"/>
    <mergeCell ref="F68:G68"/>
    <mergeCell ref="J68:N68"/>
    <mergeCell ref="D71:E71"/>
    <mergeCell ref="F71:G71"/>
    <mergeCell ref="J71:N71"/>
    <mergeCell ref="D69:E69"/>
    <mergeCell ref="F69:G69"/>
    <mergeCell ref="J69:N69"/>
    <mergeCell ref="D48:E48"/>
    <mergeCell ref="F48:G48"/>
    <mergeCell ref="J48:N48"/>
    <mergeCell ref="D59:E59"/>
    <mergeCell ref="F59:G59"/>
    <mergeCell ref="J59:N59"/>
    <mergeCell ref="D60:E60"/>
    <mergeCell ref="F60:G60"/>
    <mergeCell ref="J60:N60"/>
    <mergeCell ref="D57:E57"/>
    <mergeCell ref="F57:G57"/>
    <mergeCell ref="J57:N57"/>
    <mergeCell ref="D58:E58"/>
    <mergeCell ref="F58:G58"/>
    <mergeCell ref="J58:N58"/>
    <mergeCell ref="D51:E51"/>
    <mergeCell ref="F51:G51"/>
    <mergeCell ref="J51:N51"/>
    <mergeCell ref="C54:H54"/>
    <mergeCell ref="C55:H55"/>
    <mergeCell ref="D49:E49"/>
    <mergeCell ref="F49:G49"/>
    <mergeCell ref="J49:N49"/>
    <mergeCell ref="D50:E50"/>
    <mergeCell ref="F50:G50"/>
    <mergeCell ref="J50:N50"/>
    <mergeCell ref="D52:E52"/>
    <mergeCell ref="F52:G52"/>
    <mergeCell ref="J52:N52"/>
    <mergeCell ref="C2:I2"/>
    <mergeCell ref="D9:E9"/>
    <mergeCell ref="F9:G9"/>
    <mergeCell ref="C6:H6"/>
    <mergeCell ref="C7:H7"/>
    <mergeCell ref="D10:E10"/>
    <mergeCell ref="D11:E11"/>
    <mergeCell ref="C13:H13"/>
    <mergeCell ref="C14:H14"/>
    <mergeCell ref="D16:E16"/>
    <mergeCell ref="F16:G16"/>
    <mergeCell ref="J24:N24"/>
    <mergeCell ref="D19:E19"/>
    <mergeCell ref="F19:G19"/>
    <mergeCell ref="J19:N19"/>
    <mergeCell ref="J9:N9"/>
    <mergeCell ref="F10:G10"/>
    <mergeCell ref="F11:G11"/>
    <mergeCell ref="J10:N10"/>
    <mergeCell ref="J11:N11"/>
    <mergeCell ref="J16:N16"/>
    <mergeCell ref="D17:E17"/>
    <mergeCell ref="F17:G17"/>
    <mergeCell ref="J17:N17"/>
    <mergeCell ref="D18:E18"/>
    <mergeCell ref="F18:G18"/>
    <mergeCell ref="J18:N18"/>
    <mergeCell ref="C21:H21"/>
    <mergeCell ref="C22:H22"/>
    <mergeCell ref="D24:E24"/>
    <mergeCell ref="F24:G24"/>
    <mergeCell ref="D27:E27"/>
    <mergeCell ref="F27:G27"/>
    <mergeCell ref="J27:N27"/>
    <mergeCell ref="D25:E25"/>
    <mergeCell ref="F25:G25"/>
    <mergeCell ref="J25:N25"/>
    <mergeCell ref="D26:E26"/>
    <mergeCell ref="F26:G26"/>
    <mergeCell ref="C37:H37"/>
    <mergeCell ref="D35:E35"/>
    <mergeCell ref="F35:G35"/>
    <mergeCell ref="J35:N35"/>
    <mergeCell ref="J26:N26"/>
    <mergeCell ref="C29:H29"/>
    <mergeCell ref="C30:H30"/>
    <mergeCell ref="D32:E32"/>
    <mergeCell ref="F32:G32"/>
    <mergeCell ref="J32:N32"/>
    <mergeCell ref="D33:E33"/>
    <mergeCell ref="F33:G33"/>
    <mergeCell ref="J33:N33"/>
    <mergeCell ref="D34:E34"/>
    <mergeCell ref="F34:G34"/>
    <mergeCell ref="J34:N34"/>
    <mergeCell ref="D40:E40"/>
    <mergeCell ref="F40:G40"/>
    <mergeCell ref="D41:E41"/>
    <mergeCell ref="F41:G41"/>
    <mergeCell ref="J41:N41"/>
    <mergeCell ref="C45:H45"/>
    <mergeCell ref="C46:H46"/>
    <mergeCell ref="J40:N40"/>
    <mergeCell ref="C38:H38"/>
    <mergeCell ref="D42:E42"/>
    <mergeCell ref="F42:G42"/>
    <mergeCell ref="J42:N42"/>
    <mergeCell ref="D43:E43"/>
    <mergeCell ref="F43:G43"/>
    <mergeCell ref="J43:N43"/>
    <mergeCell ref="C118:H118"/>
    <mergeCell ref="C119:H119"/>
    <mergeCell ref="D121:E121"/>
    <mergeCell ref="F121:G121"/>
    <mergeCell ref="J121:N121"/>
    <mergeCell ref="D122:E122"/>
    <mergeCell ref="F122:G122"/>
    <mergeCell ref="J122:N122"/>
    <mergeCell ref="D123:E123"/>
    <mergeCell ref="F123:G123"/>
    <mergeCell ref="J123:N123"/>
    <mergeCell ref="D136:E136"/>
    <mergeCell ref="F136:G136"/>
    <mergeCell ref="J136:N136"/>
    <mergeCell ref="D133:E133"/>
    <mergeCell ref="F133:G133"/>
    <mergeCell ref="J133:N133"/>
    <mergeCell ref="D134:E134"/>
    <mergeCell ref="F134:G134"/>
    <mergeCell ref="J134:N134"/>
    <mergeCell ref="D135:E135"/>
    <mergeCell ref="F135:G135"/>
    <mergeCell ref="J135:N135"/>
    <mergeCell ref="C128:H128"/>
    <mergeCell ref="C129:H129"/>
    <mergeCell ref="D131:E131"/>
    <mergeCell ref="F131:G131"/>
    <mergeCell ref="J131:N131"/>
    <mergeCell ref="D132:E132"/>
    <mergeCell ref="F132:G132"/>
    <mergeCell ref="J132:N132"/>
    <mergeCell ref="D124:E124"/>
    <mergeCell ref="F124:G124"/>
    <mergeCell ref="J124:N124"/>
    <mergeCell ref="D125:E125"/>
    <mergeCell ref="F125:G125"/>
    <mergeCell ref="J125:N125"/>
  </mergeCells>
  <phoneticPr fontId="35"/>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452D0-7A10-459C-BCB7-CDFC1A4AAC72}">
  <sheetPr>
    <tabColor theme="7" tint="0.59999389629810485"/>
  </sheetPr>
  <dimension ref="B2:M40"/>
  <sheetViews>
    <sheetView showGridLines="0" workbookViewId="0">
      <selection activeCell="G14" sqref="G14"/>
    </sheetView>
  </sheetViews>
  <sheetFormatPr defaultRowHeight="12"/>
  <cols>
    <col min="1" max="1" width="9.140625" style="30"/>
    <col min="2" max="2" width="14" style="30" customWidth="1"/>
    <col min="3" max="3" width="11" style="30" customWidth="1"/>
    <col min="4" max="4" width="16" style="30" customWidth="1"/>
    <col min="5" max="5" width="9.140625" style="30"/>
    <col min="6" max="6" width="14.42578125" style="30" customWidth="1"/>
    <col min="7" max="7" width="17.5703125" style="30" customWidth="1"/>
    <col min="8" max="8" width="10.42578125" style="30" customWidth="1"/>
    <col min="9" max="10" width="9.140625" style="30"/>
    <col min="11" max="11" width="11" style="30" customWidth="1"/>
    <col min="12" max="13" width="11.5703125" style="30" customWidth="1"/>
    <col min="14" max="16384" width="9.140625" style="30"/>
  </cols>
  <sheetData>
    <row r="2" spans="2:13">
      <c r="B2" s="30" t="s">
        <v>325</v>
      </c>
      <c r="J2" s="30" t="s">
        <v>275</v>
      </c>
      <c r="M2" s="33" t="s">
        <v>298</v>
      </c>
    </row>
    <row r="3" spans="2:13">
      <c r="B3" s="31" t="s">
        <v>327</v>
      </c>
      <c r="C3" s="32" t="s">
        <v>329</v>
      </c>
      <c r="D3" s="31" t="s">
        <v>4</v>
      </c>
      <c r="E3" s="35" t="s">
        <v>333</v>
      </c>
      <c r="F3" s="36" t="s">
        <v>278</v>
      </c>
      <c r="G3" s="33" t="s">
        <v>289</v>
      </c>
      <c r="H3" s="33" t="s">
        <v>283</v>
      </c>
      <c r="J3" s="31" t="s">
        <v>278</v>
      </c>
      <c r="K3" s="31" t="s">
        <v>360</v>
      </c>
    </row>
    <row r="4" spans="2:13">
      <c r="B4" s="31">
        <v>2</v>
      </c>
      <c r="C4" s="31"/>
      <c r="D4" s="37"/>
      <c r="E4" s="31"/>
      <c r="F4" s="32"/>
      <c r="G4" s="31" t="s">
        <v>361</v>
      </c>
      <c r="H4" s="31">
        <v>1</v>
      </c>
      <c r="J4" s="31"/>
      <c r="K4" s="31"/>
    </row>
    <row r="5" spans="2:13">
      <c r="B5" s="31"/>
      <c r="C5" s="31"/>
      <c r="D5" s="31"/>
      <c r="E5" s="31"/>
      <c r="F5" s="32"/>
      <c r="G5" s="31"/>
      <c r="H5" s="31"/>
      <c r="J5" s="31"/>
      <c r="K5" s="31"/>
    </row>
    <row r="7" spans="2:13">
      <c r="B7" s="30" t="s">
        <v>292</v>
      </c>
      <c r="G7" s="30" t="s">
        <v>362</v>
      </c>
    </row>
    <row r="8" spans="2:13">
      <c r="B8" s="31" t="s">
        <v>295</v>
      </c>
      <c r="C8" s="32" t="s">
        <v>297</v>
      </c>
      <c r="D8" s="33" t="s">
        <v>363</v>
      </c>
      <c r="E8" s="34"/>
      <c r="G8" s="32" t="s">
        <v>363</v>
      </c>
      <c r="H8" s="31" t="s">
        <v>364</v>
      </c>
      <c r="I8" s="34"/>
    </row>
    <row r="9" spans="2:13">
      <c r="B9" s="31">
        <v>1</v>
      </c>
      <c r="C9" s="32" t="s">
        <v>365</v>
      </c>
      <c r="D9" s="31">
        <v>1</v>
      </c>
      <c r="E9" s="34"/>
      <c r="G9" s="32"/>
      <c r="H9" s="31"/>
      <c r="I9" s="34"/>
    </row>
    <row r="10" spans="2:13">
      <c r="B10" s="31"/>
      <c r="C10" s="32"/>
      <c r="D10" s="31"/>
      <c r="E10" s="34"/>
      <c r="G10" s="32"/>
      <c r="H10" s="31"/>
      <c r="I10" s="34"/>
    </row>
    <row r="12" spans="2:13">
      <c r="B12" s="30" t="s">
        <v>286</v>
      </c>
      <c r="F12" s="30" t="s">
        <v>306</v>
      </c>
    </row>
    <row r="13" spans="2:13">
      <c r="B13" s="32" t="s">
        <v>289</v>
      </c>
      <c r="C13" s="31" t="s">
        <v>291</v>
      </c>
      <c r="D13" s="56"/>
      <c r="F13" s="31" t="s">
        <v>309</v>
      </c>
      <c r="G13" s="33" t="s">
        <v>289</v>
      </c>
      <c r="H13" s="33" t="s">
        <v>295</v>
      </c>
      <c r="I13" s="31" t="s">
        <v>304</v>
      </c>
    </row>
    <row r="14" spans="2:13">
      <c r="B14" s="32">
        <v>1</v>
      </c>
      <c r="C14" s="31" t="s">
        <v>366</v>
      </c>
      <c r="D14" s="56"/>
      <c r="F14" s="31">
        <v>1</v>
      </c>
      <c r="G14" s="31">
        <v>1</v>
      </c>
      <c r="H14" s="31">
        <v>1</v>
      </c>
      <c r="I14" s="31"/>
    </row>
    <row r="15" spans="2:13">
      <c r="B15" s="32">
        <v>2</v>
      </c>
      <c r="C15" s="31"/>
      <c r="D15" s="56"/>
      <c r="F15" s="31">
        <v>2</v>
      </c>
      <c r="G15" s="31">
        <v>2</v>
      </c>
      <c r="H15" s="31">
        <v>1</v>
      </c>
      <c r="I15" s="31"/>
    </row>
    <row r="17" spans="2:9" ht="17.25" customHeight="1">
      <c r="B17" s="30" t="s">
        <v>280</v>
      </c>
      <c r="F17" s="30" t="s">
        <v>299</v>
      </c>
    </row>
    <row r="18" spans="2:9" ht="12.75" customHeight="1">
      <c r="B18" s="32" t="s">
        <v>283</v>
      </c>
      <c r="C18" s="31" t="s">
        <v>285</v>
      </c>
      <c r="D18" s="56"/>
      <c r="F18" s="31" t="s">
        <v>302</v>
      </c>
      <c r="G18" s="33" t="s">
        <v>283</v>
      </c>
      <c r="H18" s="33" t="s">
        <v>295</v>
      </c>
      <c r="I18" s="31" t="s">
        <v>304</v>
      </c>
    </row>
    <row r="19" spans="2:9">
      <c r="B19" s="32"/>
      <c r="C19" s="31"/>
      <c r="D19" s="34"/>
      <c r="F19" s="31"/>
      <c r="G19" s="31"/>
      <c r="H19" s="31">
        <v>1</v>
      </c>
      <c r="I19" s="31"/>
    </row>
    <row r="20" spans="2:9">
      <c r="B20" s="32"/>
      <c r="C20" s="31"/>
      <c r="D20" s="34"/>
      <c r="F20" s="31"/>
      <c r="G20" s="31"/>
      <c r="H20" s="31">
        <v>1</v>
      </c>
      <c r="I20" s="31"/>
    </row>
    <row r="22" spans="2:9">
      <c r="B22" s="30" t="s">
        <v>367</v>
      </c>
    </row>
    <row r="23" spans="2:9">
      <c r="B23" s="31" t="s">
        <v>368</v>
      </c>
      <c r="C23" s="33" t="s">
        <v>289</v>
      </c>
      <c r="D23" s="33" t="s">
        <v>283</v>
      </c>
    </row>
    <row r="24" spans="2:9">
      <c r="B24" s="31"/>
      <c r="C24" s="31"/>
      <c r="D24" s="31"/>
    </row>
    <row r="25" spans="2:9">
      <c r="B25" s="31"/>
      <c r="C25" s="31"/>
      <c r="D25" s="31"/>
    </row>
    <row r="27" spans="2:9">
      <c r="B27" s="30" t="s">
        <v>310</v>
      </c>
    </row>
    <row r="28" spans="2:9">
      <c r="B28" s="31" t="s">
        <v>312</v>
      </c>
      <c r="C28" s="33" t="s">
        <v>289</v>
      </c>
      <c r="D28" s="33" t="s">
        <v>295</v>
      </c>
      <c r="E28" s="31" t="s">
        <v>369</v>
      </c>
      <c r="F28" s="33" t="s">
        <v>283</v>
      </c>
      <c r="G28" s="31" t="s">
        <v>80</v>
      </c>
      <c r="H28" s="31" t="s">
        <v>320</v>
      </c>
      <c r="I28" s="31" t="s">
        <v>324</v>
      </c>
    </row>
    <row r="29" spans="2:9">
      <c r="B29" s="31"/>
      <c r="C29" s="31"/>
      <c r="D29" s="31"/>
      <c r="E29" s="31"/>
      <c r="F29" s="31"/>
      <c r="G29" s="31"/>
      <c r="H29" s="31"/>
      <c r="I29" s="31"/>
    </row>
    <row r="30" spans="2:9">
      <c r="B30" s="31"/>
      <c r="C30" s="31"/>
      <c r="D30" s="31"/>
      <c r="E30" s="31"/>
      <c r="F30" s="31"/>
      <c r="G30" s="31"/>
      <c r="H30" s="31"/>
      <c r="I30" s="31"/>
    </row>
    <row r="32" spans="2:9">
      <c r="B32" s="30" t="s">
        <v>370</v>
      </c>
    </row>
    <row r="33" spans="2:9" ht="16.5" customHeight="1">
      <c r="B33" s="31" t="s">
        <v>338</v>
      </c>
      <c r="C33" s="31" t="s">
        <v>327</v>
      </c>
      <c r="D33" s="31" t="s">
        <v>342</v>
      </c>
      <c r="E33" s="31" t="s">
        <v>344</v>
      </c>
      <c r="F33" s="32" t="s">
        <v>80</v>
      </c>
      <c r="G33" s="33" t="s">
        <v>371</v>
      </c>
      <c r="H33" s="38" t="s">
        <v>289</v>
      </c>
      <c r="I33" s="33" t="s">
        <v>283</v>
      </c>
    </row>
    <row r="34" spans="2:9">
      <c r="B34" s="31"/>
      <c r="C34" s="31"/>
      <c r="D34" s="31"/>
      <c r="E34" s="48"/>
      <c r="F34" s="32"/>
      <c r="G34" s="31"/>
      <c r="H34" s="35"/>
      <c r="I34" s="31"/>
    </row>
    <row r="35" spans="2:9">
      <c r="B35" s="31"/>
      <c r="C35" s="31"/>
      <c r="D35" s="31"/>
      <c r="E35" s="31"/>
      <c r="F35" s="31"/>
      <c r="G35" s="37"/>
      <c r="H35" s="31"/>
      <c r="I35" s="31"/>
    </row>
    <row r="37" spans="2:9">
      <c r="B37" s="30" t="s">
        <v>243</v>
      </c>
    </row>
    <row r="38" spans="2:9">
      <c r="B38" s="31" t="s">
        <v>354</v>
      </c>
      <c r="C38" s="31" t="s">
        <v>356</v>
      </c>
      <c r="D38" s="33" t="s">
        <v>289</v>
      </c>
      <c r="E38" s="33" t="s">
        <v>295</v>
      </c>
      <c r="F38" s="31" t="s">
        <v>359</v>
      </c>
    </row>
    <row r="39" spans="2:9">
      <c r="B39" s="31"/>
      <c r="C39" s="31"/>
      <c r="D39" s="31"/>
      <c r="E39" s="31"/>
      <c r="F39" s="31"/>
    </row>
    <row r="40" spans="2:9">
      <c r="B40" s="31"/>
      <c r="C40" s="31"/>
      <c r="D40" s="31"/>
      <c r="E40" s="31"/>
      <c r="F40" s="31"/>
    </row>
  </sheetData>
  <phoneticPr fontId="35"/>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A342A-C020-4023-843A-3C3A5DE2A7E7}">
  <sheetPr>
    <tabColor theme="7" tint="0.59999389629810485"/>
  </sheetPr>
  <dimension ref="A1"/>
  <sheetViews>
    <sheetView topLeftCell="A7" zoomScale="160" zoomScaleNormal="160" workbookViewId="0"/>
  </sheetViews>
  <sheetFormatPr defaultRowHeight="12"/>
  <sheetData/>
  <phoneticPr fontId="35"/>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9351C-6202-4DD5-87B1-3CAB73F304AB}">
  <sheetPr>
    <tabColor theme="9" tint="0.59999389629810485"/>
  </sheetPr>
  <dimension ref="A1:N114"/>
  <sheetViews>
    <sheetView workbookViewId="0">
      <pane ySplit="1" topLeftCell="A2" activePane="bottomLeft" state="frozen"/>
      <selection pane="bottomLeft" activeCell="C3" sqref="C3"/>
    </sheetView>
  </sheetViews>
  <sheetFormatPr defaultRowHeight="12"/>
  <cols>
    <col min="1" max="1" width="10.42578125" customWidth="1"/>
    <col min="2" max="2" width="8.5703125" customWidth="1"/>
    <col min="3" max="3" width="16.42578125" customWidth="1"/>
    <col min="4" max="4" width="20.140625" customWidth="1"/>
    <col min="5" max="5" width="14.140625" customWidth="1"/>
    <col min="6" max="6" width="19.7109375" customWidth="1"/>
    <col min="7" max="7" width="29" customWidth="1"/>
    <col min="8" max="8" width="40.28515625" bestFit="1" customWidth="1"/>
    <col min="9" max="9" width="65.85546875" customWidth="1"/>
    <col min="10" max="10" width="12.7109375" customWidth="1"/>
    <col min="11" max="11" width="14.42578125" customWidth="1"/>
    <col min="12" max="12" width="10.140625" customWidth="1"/>
    <col min="13" max="13" width="23.140625" customWidth="1"/>
    <col min="14" max="14" width="11" customWidth="1"/>
  </cols>
  <sheetData>
    <row r="1" spans="1:14" ht="15">
      <c r="A1" s="40" t="s">
        <v>372</v>
      </c>
      <c r="B1" s="40" t="s">
        <v>151</v>
      </c>
      <c r="C1" s="40" t="s">
        <v>270</v>
      </c>
      <c r="D1" s="40" t="s">
        <v>373</v>
      </c>
      <c r="E1" s="40" t="s">
        <v>374</v>
      </c>
      <c r="F1" s="40" t="s">
        <v>375</v>
      </c>
      <c r="G1" s="40" t="s">
        <v>376</v>
      </c>
      <c r="H1" s="40" t="s">
        <v>377</v>
      </c>
      <c r="I1" s="41" t="s">
        <v>378</v>
      </c>
      <c r="J1" s="42" t="s">
        <v>379</v>
      </c>
      <c r="K1" s="42" t="s">
        <v>56</v>
      </c>
      <c r="L1" s="42" t="s">
        <v>380</v>
      </c>
      <c r="M1" s="137" t="s">
        <v>46</v>
      </c>
      <c r="N1" s="29" t="s">
        <v>381</v>
      </c>
    </row>
    <row r="2" spans="1:14">
      <c r="A2" s="46" t="s">
        <v>382</v>
      </c>
      <c r="B2" s="47"/>
      <c r="C2" s="47"/>
      <c r="D2" s="47"/>
      <c r="E2" s="47"/>
      <c r="F2" s="47"/>
      <c r="G2" s="47"/>
      <c r="H2" s="47"/>
      <c r="I2" s="47"/>
      <c r="J2" s="47"/>
      <c r="K2" s="47"/>
      <c r="L2" s="47"/>
      <c r="M2" s="47"/>
    </row>
    <row r="3" spans="1:14" ht="39.75" customHeight="1">
      <c r="A3" s="23">
        <v>1</v>
      </c>
      <c r="B3" s="23"/>
      <c r="C3" s="23" t="s">
        <v>383</v>
      </c>
      <c r="D3" s="23" t="s">
        <v>384</v>
      </c>
      <c r="E3" s="23" t="s">
        <v>385</v>
      </c>
      <c r="F3" s="23" t="s">
        <v>386</v>
      </c>
      <c r="G3" s="23" t="s">
        <v>387</v>
      </c>
      <c r="H3" s="23" t="s">
        <v>388</v>
      </c>
      <c r="I3" s="23" t="s">
        <v>389</v>
      </c>
      <c r="J3" s="23" t="s">
        <v>390</v>
      </c>
      <c r="K3" s="39">
        <v>46105</v>
      </c>
      <c r="L3" s="23" t="s">
        <v>391</v>
      </c>
      <c r="M3" s="23"/>
      <c r="N3" t="s">
        <v>392</v>
      </c>
    </row>
    <row r="4" spans="1:14" ht="36" customHeight="1">
      <c r="A4" s="23">
        <v>2</v>
      </c>
      <c r="B4" s="23"/>
      <c r="C4" s="23" t="s">
        <v>383</v>
      </c>
      <c r="D4" s="23" t="s">
        <v>384</v>
      </c>
      <c r="E4" s="23" t="s">
        <v>385</v>
      </c>
      <c r="F4" s="23" t="s">
        <v>386</v>
      </c>
      <c r="G4" s="23" t="s">
        <v>387</v>
      </c>
      <c r="H4" s="23" t="s">
        <v>393</v>
      </c>
      <c r="I4" s="23" t="s">
        <v>389</v>
      </c>
      <c r="J4" s="23" t="s">
        <v>390</v>
      </c>
      <c r="K4" s="39">
        <v>46105</v>
      </c>
      <c r="L4" s="23" t="s">
        <v>391</v>
      </c>
      <c r="M4" s="23"/>
      <c r="N4" t="s">
        <v>392</v>
      </c>
    </row>
    <row r="5" spans="1:14" ht="40.5" customHeight="1">
      <c r="A5" s="23">
        <v>3</v>
      </c>
      <c r="B5" s="23"/>
      <c r="C5" s="23" t="s">
        <v>383</v>
      </c>
      <c r="D5" s="23" t="s">
        <v>384</v>
      </c>
      <c r="E5" s="23" t="s">
        <v>394</v>
      </c>
      <c r="F5" s="23" t="s">
        <v>395</v>
      </c>
      <c r="G5" s="23" t="s">
        <v>396</v>
      </c>
      <c r="H5" s="23" t="s">
        <v>397</v>
      </c>
      <c r="I5" s="23" t="s">
        <v>398</v>
      </c>
      <c r="J5" s="23" t="s">
        <v>390</v>
      </c>
      <c r="K5" s="39">
        <v>46105</v>
      </c>
      <c r="L5" s="23" t="s">
        <v>391</v>
      </c>
      <c r="M5" s="23"/>
      <c r="N5" t="s">
        <v>392</v>
      </c>
    </row>
    <row r="6" spans="1:14" ht="40.5" customHeight="1">
      <c r="A6" s="23">
        <v>4</v>
      </c>
      <c r="B6" s="23"/>
      <c r="C6" s="23" t="s">
        <v>383</v>
      </c>
      <c r="D6" s="23" t="s">
        <v>384</v>
      </c>
      <c r="E6" s="23" t="s">
        <v>385</v>
      </c>
      <c r="F6" s="23" t="s">
        <v>399</v>
      </c>
      <c r="G6" s="23" t="s">
        <v>400</v>
      </c>
      <c r="H6" s="23" t="s">
        <v>401</v>
      </c>
      <c r="I6" s="23" t="s">
        <v>402</v>
      </c>
      <c r="J6" s="23" t="s">
        <v>390</v>
      </c>
      <c r="K6" s="39">
        <v>46105</v>
      </c>
      <c r="L6" s="23" t="s">
        <v>391</v>
      </c>
      <c r="M6" s="23"/>
      <c r="N6" t="s">
        <v>392</v>
      </c>
    </row>
    <row r="7" spans="1:14" ht="37.5" customHeight="1">
      <c r="A7" s="23">
        <v>5</v>
      </c>
      <c r="B7" s="23"/>
      <c r="C7" s="23" t="s">
        <v>383</v>
      </c>
      <c r="D7" s="23" t="s">
        <v>384</v>
      </c>
      <c r="E7" s="23" t="s">
        <v>385</v>
      </c>
      <c r="F7" s="23" t="s">
        <v>399</v>
      </c>
      <c r="G7" s="23" t="s">
        <v>403</v>
      </c>
      <c r="H7" s="23" t="s">
        <v>404</v>
      </c>
      <c r="I7" s="23" t="s">
        <v>405</v>
      </c>
      <c r="J7" s="23" t="s">
        <v>390</v>
      </c>
      <c r="K7" s="39">
        <v>46105</v>
      </c>
      <c r="L7" s="23" t="s">
        <v>391</v>
      </c>
      <c r="M7" s="23"/>
      <c r="N7" t="s">
        <v>392</v>
      </c>
    </row>
    <row r="8" spans="1:14" ht="38.25" customHeight="1">
      <c r="A8" s="23">
        <v>6</v>
      </c>
      <c r="B8" s="23"/>
      <c r="C8" s="23" t="s">
        <v>383</v>
      </c>
      <c r="D8" s="23" t="s">
        <v>384</v>
      </c>
      <c r="E8" s="23" t="s">
        <v>385</v>
      </c>
      <c r="F8" s="23" t="s">
        <v>399</v>
      </c>
      <c r="G8" s="23" t="s">
        <v>387</v>
      </c>
      <c r="H8" s="23" t="s">
        <v>406</v>
      </c>
      <c r="I8" s="23" t="s">
        <v>407</v>
      </c>
      <c r="J8" s="23" t="s">
        <v>390</v>
      </c>
      <c r="K8" s="39">
        <v>46105</v>
      </c>
      <c r="L8" s="23" t="s">
        <v>391</v>
      </c>
      <c r="M8" s="23"/>
      <c r="N8" t="s">
        <v>392</v>
      </c>
    </row>
    <row r="9" spans="1:14" ht="32.25" customHeight="1">
      <c r="A9" s="23">
        <v>7</v>
      </c>
      <c r="B9" s="23"/>
      <c r="C9" s="23" t="s">
        <v>383</v>
      </c>
      <c r="D9" s="23" t="s">
        <v>408</v>
      </c>
      <c r="E9" s="23" t="s">
        <v>394</v>
      </c>
      <c r="F9" s="23" t="s">
        <v>409</v>
      </c>
      <c r="G9" s="23" t="s">
        <v>400</v>
      </c>
      <c r="H9" s="23" t="s">
        <v>410</v>
      </c>
      <c r="I9" s="23" t="s">
        <v>411</v>
      </c>
      <c r="J9" s="23" t="s">
        <v>390</v>
      </c>
      <c r="K9" s="39">
        <v>46105</v>
      </c>
      <c r="L9" s="23" t="s">
        <v>391</v>
      </c>
      <c r="M9" s="23"/>
      <c r="N9" t="s">
        <v>392</v>
      </c>
    </row>
    <row r="10" spans="1:14">
      <c r="A10" s="46" t="s">
        <v>412</v>
      </c>
      <c r="B10" s="47"/>
      <c r="C10" s="47"/>
      <c r="D10" s="47"/>
      <c r="E10" s="47"/>
      <c r="F10" s="47"/>
      <c r="G10" s="47"/>
      <c r="H10" s="47"/>
      <c r="I10" s="47"/>
      <c r="J10" s="47"/>
      <c r="K10" s="47"/>
      <c r="L10" s="47"/>
      <c r="M10" s="47"/>
    </row>
    <row r="11" spans="1:14" ht="18.75" customHeight="1">
      <c r="A11" s="23">
        <v>8</v>
      </c>
      <c r="B11" s="23"/>
      <c r="C11" s="23" t="s">
        <v>88</v>
      </c>
      <c r="D11" s="23" t="s">
        <v>413</v>
      </c>
      <c r="E11" s="23" t="s">
        <v>394</v>
      </c>
      <c r="F11" s="23" t="s">
        <v>414</v>
      </c>
      <c r="G11" s="23" t="s">
        <v>400</v>
      </c>
      <c r="H11" s="23" t="s">
        <v>415</v>
      </c>
      <c r="I11" s="23" t="s">
        <v>416</v>
      </c>
      <c r="J11" s="23" t="s">
        <v>390</v>
      </c>
      <c r="K11" s="39">
        <v>46106</v>
      </c>
      <c r="L11" s="23" t="s">
        <v>248</v>
      </c>
      <c r="M11" s="23"/>
      <c r="N11" t="s">
        <v>392</v>
      </c>
    </row>
    <row r="12" spans="1:14" ht="36.75" customHeight="1">
      <c r="A12" s="23">
        <v>9</v>
      </c>
      <c r="B12" s="23"/>
      <c r="C12" s="23" t="s">
        <v>88</v>
      </c>
      <c r="D12" s="23" t="s">
        <v>417</v>
      </c>
      <c r="E12" s="23" t="s">
        <v>394</v>
      </c>
      <c r="F12" s="23" t="s">
        <v>414</v>
      </c>
      <c r="G12" s="23" t="s">
        <v>418</v>
      </c>
      <c r="H12" s="23" t="s">
        <v>419</v>
      </c>
      <c r="I12" s="23" t="s">
        <v>420</v>
      </c>
      <c r="J12" s="23" t="s">
        <v>390</v>
      </c>
      <c r="K12" s="39">
        <v>46106</v>
      </c>
      <c r="L12" s="23" t="s">
        <v>248</v>
      </c>
      <c r="M12" s="23"/>
      <c r="N12" t="s">
        <v>392</v>
      </c>
    </row>
    <row r="13" spans="1:14" ht="70.5" customHeight="1">
      <c r="A13" s="23">
        <v>10</v>
      </c>
      <c r="B13" s="23"/>
      <c r="C13" s="23" t="s">
        <v>88</v>
      </c>
      <c r="D13" s="23" t="s">
        <v>421</v>
      </c>
      <c r="E13" s="23" t="s">
        <v>394</v>
      </c>
      <c r="F13" s="23" t="s">
        <v>414</v>
      </c>
      <c r="G13" s="23" t="s">
        <v>422</v>
      </c>
      <c r="H13" s="23" t="s">
        <v>423</v>
      </c>
      <c r="I13" s="23" t="s">
        <v>424</v>
      </c>
      <c r="J13" s="23" t="s">
        <v>390</v>
      </c>
      <c r="K13" s="39">
        <v>46106</v>
      </c>
      <c r="L13" s="23" t="s">
        <v>425</v>
      </c>
      <c r="M13" s="23"/>
      <c r="N13" t="s">
        <v>392</v>
      </c>
    </row>
    <row r="14" spans="1:14" ht="35.25" customHeight="1">
      <c r="A14" s="23">
        <v>11</v>
      </c>
      <c r="B14" s="23"/>
      <c r="C14" s="23" t="s">
        <v>88</v>
      </c>
      <c r="D14" s="23" t="s">
        <v>421</v>
      </c>
      <c r="E14" s="23" t="s">
        <v>394</v>
      </c>
      <c r="F14" s="23" t="s">
        <v>426</v>
      </c>
      <c r="G14" s="23" t="s">
        <v>427</v>
      </c>
      <c r="H14" s="23" t="s">
        <v>428</v>
      </c>
      <c r="I14" s="23" t="s">
        <v>429</v>
      </c>
      <c r="J14" s="23" t="s">
        <v>390</v>
      </c>
      <c r="K14" s="39">
        <v>46106</v>
      </c>
      <c r="L14" s="23" t="s">
        <v>425</v>
      </c>
      <c r="M14" s="23"/>
      <c r="N14" t="s">
        <v>392</v>
      </c>
    </row>
    <row r="15" spans="1:14" ht="50.25" customHeight="1">
      <c r="A15" s="23">
        <v>12</v>
      </c>
      <c r="B15" s="23"/>
      <c r="C15" s="23" t="s">
        <v>88</v>
      </c>
      <c r="D15" s="23" t="s">
        <v>430</v>
      </c>
      <c r="E15" s="23" t="s">
        <v>394</v>
      </c>
      <c r="F15" s="23" t="s">
        <v>431</v>
      </c>
      <c r="G15" s="23" t="s">
        <v>432</v>
      </c>
      <c r="H15" s="23" t="s">
        <v>433</v>
      </c>
      <c r="I15" s="23" t="s">
        <v>434</v>
      </c>
      <c r="J15" s="23" t="s">
        <v>390</v>
      </c>
      <c r="K15" s="39">
        <v>46106</v>
      </c>
      <c r="L15" s="23" t="s">
        <v>425</v>
      </c>
      <c r="M15" s="23"/>
      <c r="N15" t="s">
        <v>392</v>
      </c>
    </row>
    <row r="16" spans="1:14" ht="57.75" customHeight="1">
      <c r="A16" s="23">
        <v>13</v>
      </c>
      <c r="B16" s="23"/>
      <c r="C16" s="23" t="s">
        <v>435</v>
      </c>
      <c r="D16" s="23" t="s">
        <v>436</v>
      </c>
      <c r="E16" s="23" t="s">
        <v>394</v>
      </c>
      <c r="F16" s="23" t="s">
        <v>437</v>
      </c>
      <c r="G16" s="23" t="s">
        <v>438</v>
      </c>
      <c r="H16" s="23" t="s">
        <v>439</v>
      </c>
      <c r="I16" s="23" t="s">
        <v>440</v>
      </c>
      <c r="J16" s="23" t="s">
        <v>390</v>
      </c>
      <c r="K16" s="39">
        <v>46106</v>
      </c>
      <c r="L16" s="23" t="s">
        <v>425</v>
      </c>
      <c r="M16" s="23"/>
      <c r="N16" t="s">
        <v>392</v>
      </c>
    </row>
    <row r="17" spans="1:14" ht="50.25" customHeight="1">
      <c r="A17" s="23">
        <v>14</v>
      </c>
      <c r="B17" s="23"/>
      <c r="C17" s="23" t="s">
        <v>435</v>
      </c>
      <c r="D17" s="23" t="s">
        <v>436</v>
      </c>
      <c r="E17" s="23" t="s">
        <v>394</v>
      </c>
      <c r="F17" s="23" t="s">
        <v>441</v>
      </c>
      <c r="G17" s="23" t="s">
        <v>442</v>
      </c>
      <c r="H17" s="23" t="s">
        <v>443</v>
      </c>
      <c r="I17" s="23" t="s">
        <v>444</v>
      </c>
      <c r="J17" s="23" t="s">
        <v>390</v>
      </c>
      <c r="K17" s="39">
        <v>46106</v>
      </c>
      <c r="L17" s="23" t="s">
        <v>425</v>
      </c>
      <c r="M17" s="23"/>
      <c r="N17" t="s">
        <v>392</v>
      </c>
    </row>
    <row r="18" spans="1:14" ht="45" customHeight="1">
      <c r="A18" s="23">
        <v>15</v>
      </c>
      <c r="B18" s="23"/>
      <c r="C18" s="23" t="s">
        <v>435</v>
      </c>
      <c r="D18" s="23" t="s">
        <v>436</v>
      </c>
      <c r="E18" s="23" t="s">
        <v>394</v>
      </c>
      <c r="F18" s="23" t="s">
        <v>441</v>
      </c>
      <c r="G18" s="23" t="s">
        <v>445</v>
      </c>
      <c r="H18" s="23" t="s">
        <v>446</v>
      </c>
      <c r="I18" s="23" t="s">
        <v>447</v>
      </c>
      <c r="J18" s="23" t="s">
        <v>390</v>
      </c>
      <c r="K18" s="39">
        <v>46106</v>
      </c>
      <c r="L18" s="23" t="s">
        <v>425</v>
      </c>
      <c r="M18" s="23"/>
      <c r="N18" t="s">
        <v>392</v>
      </c>
    </row>
    <row r="19" spans="1:14" ht="57.75" customHeight="1">
      <c r="A19" s="23">
        <v>16</v>
      </c>
      <c r="B19" s="23"/>
      <c r="C19" s="23" t="s">
        <v>435</v>
      </c>
      <c r="D19" s="23" t="s">
        <v>436</v>
      </c>
      <c r="E19" s="23" t="s">
        <v>385</v>
      </c>
      <c r="F19" s="23" t="s">
        <v>448</v>
      </c>
      <c r="G19" s="23"/>
      <c r="H19" s="23" t="s">
        <v>449</v>
      </c>
      <c r="I19" s="23" t="s">
        <v>450</v>
      </c>
      <c r="J19" s="23" t="s">
        <v>390</v>
      </c>
      <c r="K19" s="39">
        <v>46106</v>
      </c>
      <c r="L19" s="23" t="s">
        <v>425</v>
      </c>
      <c r="M19" s="23"/>
      <c r="N19" t="s">
        <v>392</v>
      </c>
    </row>
    <row r="20" spans="1:14" ht="59.25" customHeight="1">
      <c r="A20" s="23">
        <v>17</v>
      </c>
      <c r="B20" s="23"/>
      <c r="C20" s="23" t="s">
        <v>435</v>
      </c>
      <c r="D20" s="23" t="s">
        <v>451</v>
      </c>
      <c r="E20" s="23" t="s">
        <v>394</v>
      </c>
      <c r="F20" s="23" t="s">
        <v>441</v>
      </c>
      <c r="G20" s="23" t="s">
        <v>452</v>
      </c>
      <c r="H20" s="23" t="s">
        <v>453</v>
      </c>
      <c r="I20" s="23" t="s">
        <v>454</v>
      </c>
      <c r="J20" s="23" t="s">
        <v>390</v>
      </c>
      <c r="K20" s="39">
        <v>46106</v>
      </c>
      <c r="L20" s="23" t="s">
        <v>248</v>
      </c>
      <c r="M20" s="23"/>
      <c r="N20" t="s">
        <v>392</v>
      </c>
    </row>
    <row r="21" spans="1:14" ht="54.75" customHeight="1">
      <c r="A21" s="23">
        <v>18</v>
      </c>
      <c r="B21" s="23"/>
      <c r="C21" s="23" t="s">
        <v>435</v>
      </c>
      <c r="D21" s="23" t="s">
        <v>455</v>
      </c>
      <c r="E21" s="23" t="s">
        <v>394</v>
      </c>
      <c r="F21" s="23" t="s">
        <v>456</v>
      </c>
      <c r="G21" s="23" t="s">
        <v>452</v>
      </c>
      <c r="H21" s="23" t="s">
        <v>457</v>
      </c>
      <c r="I21" s="23" t="s">
        <v>458</v>
      </c>
      <c r="J21" s="23" t="s">
        <v>390</v>
      </c>
      <c r="K21" s="39">
        <v>46106</v>
      </c>
      <c r="L21" s="23" t="s">
        <v>248</v>
      </c>
      <c r="M21" s="23"/>
      <c r="N21" t="s">
        <v>392</v>
      </c>
    </row>
    <row r="22" spans="1:14" ht="59.25" customHeight="1">
      <c r="A22" s="23">
        <v>19</v>
      </c>
      <c r="B22" s="23"/>
      <c r="C22" s="23" t="s">
        <v>435</v>
      </c>
      <c r="D22" s="23" t="s">
        <v>455</v>
      </c>
      <c r="E22" s="23" t="s">
        <v>385</v>
      </c>
      <c r="F22" s="23" t="s">
        <v>459</v>
      </c>
      <c r="G22" s="23" t="s">
        <v>452</v>
      </c>
      <c r="H22" s="23" t="s">
        <v>460</v>
      </c>
      <c r="I22" s="23" t="s">
        <v>461</v>
      </c>
      <c r="J22" s="23" t="s">
        <v>390</v>
      </c>
      <c r="K22" s="39">
        <v>46106</v>
      </c>
      <c r="L22" s="23" t="s">
        <v>248</v>
      </c>
      <c r="M22" s="23"/>
      <c r="N22" t="s">
        <v>392</v>
      </c>
    </row>
    <row r="23" spans="1:14" ht="59.25" customHeight="1">
      <c r="A23" s="23">
        <v>20</v>
      </c>
      <c r="B23" s="23"/>
      <c r="C23" s="23" t="s">
        <v>435</v>
      </c>
      <c r="D23" s="23" t="s">
        <v>455</v>
      </c>
      <c r="E23" s="23" t="s">
        <v>385</v>
      </c>
      <c r="F23" s="23" t="s">
        <v>462</v>
      </c>
      <c r="G23" s="23" t="s">
        <v>452</v>
      </c>
      <c r="H23" s="23" t="s">
        <v>463</v>
      </c>
      <c r="I23" s="23" t="s">
        <v>464</v>
      </c>
      <c r="J23" s="23" t="s">
        <v>390</v>
      </c>
      <c r="K23" s="39">
        <v>46106</v>
      </c>
      <c r="L23" s="23" t="s">
        <v>248</v>
      </c>
      <c r="M23" s="23"/>
      <c r="N23" t="s">
        <v>392</v>
      </c>
    </row>
    <row r="24" spans="1:14">
      <c r="A24" s="46" t="s">
        <v>465</v>
      </c>
      <c r="B24" s="47"/>
      <c r="C24" s="47"/>
      <c r="D24" s="47"/>
      <c r="E24" s="47"/>
      <c r="F24" s="47"/>
      <c r="G24" s="47"/>
      <c r="H24" s="47"/>
      <c r="I24" s="47"/>
      <c r="J24" s="47"/>
      <c r="K24" s="47"/>
      <c r="L24" s="47"/>
      <c r="M24" s="47"/>
    </row>
    <row r="25" spans="1:14" ht="33.75" customHeight="1">
      <c r="A25" s="23">
        <v>21</v>
      </c>
      <c r="B25" s="23"/>
      <c r="C25" s="23" t="s">
        <v>466</v>
      </c>
      <c r="D25" s="23" t="s">
        <v>451</v>
      </c>
      <c r="E25" s="23" t="s">
        <v>394</v>
      </c>
      <c r="F25" s="23" t="s">
        <v>467</v>
      </c>
      <c r="G25" s="23" t="s">
        <v>468</v>
      </c>
      <c r="H25" s="23" t="s">
        <v>469</v>
      </c>
      <c r="I25" s="23" t="s">
        <v>470</v>
      </c>
      <c r="J25" s="23" t="s">
        <v>390</v>
      </c>
      <c r="K25" s="39">
        <v>46106</v>
      </c>
      <c r="L25" s="23" t="s">
        <v>425</v>
      </c>
      <c r="M25" s="23"/>
      <c r="N25" t="s">
        <v>392</v>
      </c>
    </row>
    <row r="26" spans="1:14" ht="33" customHeight="1">
      <c r="A26" s="23">
        <v>22</v>
      </c>
      <c r="B26" s="23"/>
      <c r="C26" s="23" t="s">
        <v>466</v>
      </c>
      <c r="D26" s="23" t="s">
        <v>451</v>
      </c>
      <c r="E26" s="23" t="s">
        <v>394</v>
      </c>
      <c r="F26" s="23" t="s">
        <v>471</v>
      </c>
      <c r="G26" s="23" t="s">
        <v>468</v>
      </c>
      <c r="H26" s="23" t="s">
        <v>472</v>
      </c>
      <c r="I26" s="23" t="s">
        <v>473</v>
      </c>
      <c r="J26" s="23" t="s">
        <v>390</v>
      </c>
      <c r="K26" s="39">
        <v>46106</v>
      </c>
      <c r="L26" s="23" t="s">
        <v>425</v>
      </c>
      <c r="M26" s="23"/>
      <c r="N26" t="s">
        <v>392</v>
      </c>
    </row>
    <row r="27" spans="1:14" ht="51.75" customHeight="1">
      <c r="A27" s="23">
        <v>23</v>
      </c>
      <c r="B27" s="23"/>
      <c r="C27" s="23" t="s">
        <v>466</v>
      </c>
      <c r="D27" s="23" t="s">
        <v>474</v>
      </c>
      <c r="E27" s="23" t="s">
        <v>394</v>
      </c>
      <c r="F27" s="23" t="s">
        <v>437</v>
      </c>
      <c r="G27" s="23" t="s">
        <v>468</v>
      </c>
      <c r="H27" s="23" t="s">
        <v>475</v>
      </c>
      <c r="I27" s="23" t="s">
        <v>476</v>
      </c>
      <c r="J27" s="23" t="s">
        <v>390</v>
      </c>
      <c r="K27" s="39">
        <v>46106</v>
      </c>
      <c r="L27" s="23" t="s">
        <v>248</v>
      </c>
      <c r="M27" s="23"/>
      <c r="N27" t="s">
        <v>392</v>
      </c>
    </row>
    <row r="28" spans="1:14" ht="32.25" customHeight="1">
      <c r="A28" s="23">
        <v>24</v>
      </c>
      <c r="B28" s="23"/>
      <c r="C28" s="23" t="s">
        <v>466</v>
      </c>
      <c r="D28" s="23" t="s">
        <v>474</v>
      </c>
      <c r="E28" s="23" t="s">
        <v>385</v>
      </c>
      <c r="F28" s="23" t="s">
        <v>386</v>
      </c>
      <c r="G28" s="23" t="s">
        <v>468</v>
      </c>
      <c r="H28" s="23" t="s">
        <v>477</v>
      </c>
      <c r="I28" s="23" t="s">
        <v>478</v>
      </c>
      <c r="J28" s="23" t="s">
        <v>390</v>
      </c>
      <c r="K28" s="39">
        <v>46106</v>
      </c>
      <c r="L28" s="23" t="s">
        <v>248</v>
      </c>
      <c r="M28" s="23"/>
      <c r="N28" t="s">
        <v>392</v>
      </c>
    </row>
    <row r="29" spans="1:14" ht="21.75" customHeight="1">
      <c r="A29" s="23">
        <v>25</v>
      </c>
      <c r="B29" s="23"/>
      <c r="C29" s="23" t="s">
        <v>466</v>
      </c>
      <c r="D29" s="23" t="s">
        <v>474</v>
      </c>
      <c r="E29" s="23" t="s">
        <v>385</v>
      </c>
      <c r="F29" s="23" t="s">
        <v>386</v>
      </c>
      <c r="G29" s="23" t="s">
        <v>468</v>
      </c>
      <c r="H29" s="23" t="s">
        <v>479</v>
      </c>
      <c r="I29" s="23" t="s">
        <v>480</v>
      </c>
      <c r="J29" s="23" t="s">
        <v>390</v>
      </c>
      <c r="K29" s="39">
        <v>46106</v>
      </c>
      <c r="L29" s="23" t="s">
        <v>248</v>
      </c>
      <c r="M29" s="23"/>
      <c r="N29" t="s">
        <v>392</v>
      </c>
    </row>
    <row r="30" spans="1:14" ht="33" customHeight="1">
      <c r="A30" s="23">
        <v>26</v>
      </c>
      <c r="B30" s="23"/>
      <c r="C30" s="23" t="s">
        <v>466</v>
      </c>
      <c r="D30" s="23" t="s">
        <v>474</v>
      </c>
      <c r="E30" s="23" t="s">
        <v>385</v>
      </c>
      <c r="F30" s="23" t="s">
        <v>386</v>
      </c>
      <c r="G30" s="23" t="s">
        <v>468</v>
      </c>
      <c r="H30" s="23" t="s">
        <v>481</v>
      </c>
      <c r="I30" s="23" t="s">
        <v>482</v>
      </c>
      <c r="J30" s="23" t="s">
        <v>390</v>
      </c>
      <c r="K30" s="39">
        <v>46106</v>
      </c>
      <c r="L30" s="23" t="s">
        <v>248</v>
      </c>
      <c r="M30" s="23"/>
      <c r="N30" t="s">
        <v>392</v>
      </c>
    </row>
    <row r="31" spans="1:14" ht="37.5" customHeight="1">
      <c r="A31" s="23">
        <v>27</v>
      </c>
      <c r="B31" s="23"/>
      <c r="C31" s="23" t="s">
        <v>466</v>
      </c>
      <c r="D31" s="23" t="s">
        <v>474</v>
      </c>
      <c r="E31" s="23" t="s">
        <v>385</v>
      </c>
      <c r="F31" s="23" t="s">
        <v>483</v>
      </c>
      <c r="G31" s="23" t="s">
        <v>468</v>
      </c>
      <c r="H31" s="23" t="s">
        <v>484</v>
      </c>
      <c r="I31" s="23" t="s">
        <v>485</v>
      </c>
      <c r="J31" s="23" t="s">
        <v>390</v>
      </c>
      <c r="K31" s="39">
        <v>46106</v>
      </c>
      <c r="L31" s="23" t="s">
        <v>248</v>
      </c>
      <c r="M31" s="23"/>
      <c r="N31" t="s">
        <v>392</v>
      </c>
    </row>
    <row r="32" spans="1:14" ht="33.75" customHeight="1">
      <c r="A32" s="23">
        <v>28</v>
      </c>
      <c r="B32" s="23"/>
      <c r="C32" s="23" t="s">
        <v>466</v>
      </c>
      <c r="D32" s="23" t="s">
        <v>474</v>
      </c>
      <c r="E32" s="23" t="s">
        <v>385</v>
      </c>
      <c r="F32" s="23" t="s">
        <v>483</v>
      </c>
      <c r="G32" s="23" t="s">
        <v>468</v>
      </c>
      <c r="H32" s="23" t="s">
        <v>486</v>
      </c>
      <c r="I32" s="23" t="s">
        <v>487</v>
      </c>
      <c r="J32" s="23" t="s">
        <v>390</v>
      </c>
      <c r="K32" s="39">
        <v>46106</v>
      </c>
      <c r="L32" s="23" t="s">
        <v>248</v>
      </c>
      <c r="M32" s="23"/>
      <c r="N32" t="s">
        <v>392</v>
      </c>
    </row>
    <row r="33" spans="1:14" ht="34.5" customHeight="1">
      <c r="A33" s="23">
        <v>29</v>
      </c>
      <c r="B33" s="23"/>
      <c r="C33" s="23" t="s">
        <v>466</v>
      </c>
      <c r="D33" s="23" t="s">
        <v>488</v>
      </c>
      <c r="E33" s="23" t="s">
        <v>394</v>
      </c>
      <c r="F33" s="23" t="s">
        <v>431</v>
      </c>
      <c r="G33" s="23" t="s">
        <v>468</v>
      </c>
      <c r="H33" s="23" t="s">
        <v>489</v>
      </c>
      <c r="I33" s="23" t="s">
        <v>490</v>
      </c>
      <c r="J33" s="23" t="s">
        <v>390</v>
      </c>
      <c r="K33" s="39">
        <v>46106</v>
      </c>
      <c r="L33" s="23" t="s">
        <v>425</v>
      </c>
      <c r="M33" s="23"/>
      <c r="N33" t="s">
        <v>392</v>
      </c>
    </row>
    <row r="34" spans="1:14" ht="55.5" customHeight="1">
      <c r="A34" s="23">
        <v>30</v>
      </c>
      <c r="B34" s="23"/>
      <c r="C34" s="23" t="s">
        <v>466</v>
      </c>
      <c r="D34" s="23" t="s">
        <v>488</v>
      </c>
      <c r="E34" s="23" t="s">
        <v>394</v>
      </c>
      <c r="F34" s="23" t="s">
        <v>431</v>
      </c>
      <c r="G34" s="23" t="s">
        <v>468</v>
      </c>
      <c r="H34" s="45" t="s">
        <v>491</v>
      </c>
      <c r="I34" s="23" t="s">
        <v>492</v>
      </c>
      <c r="J34" s="23" t="s">
        <v>390</v>
      </c>
      <c r="K34" s="39">
        <v>46106</v>
      </c>
      <c r="L34" s="23" t="s">
        <v>425</v>
      </c>
      <c r="M34" s="23"/>
    </row>
    <row r="35" spans="1:14" ht="33.75" customHeight="1">
      <c r="A35" s="23">
        <v>31</v>
      </c>
      <c r="B35" s="23"/>
      <c r="C35" s="23" t="s">
        <v>466</v>
      </c>
      <c r="D35" s="23" t="s">
        <v>488</v>
      </c>
      <c r="E35" s="23" t="s">
        <v>394</v>
      </c>
      <c r="F35" s="23" t="s">
        <v>493</v>
      </c>
      <c r="G35" s="23" t="s">
        <v>468</v>
      </c>
      <c r="H35" s="23" t="s">
        <v>494</v>
      </c>
      <c r="I35" s="23" t="s">
        <v>495</v>
      </c>
      <c r="J35" s="23" t="s">
        <v>390</v>
      </c>
      <c r="K35" s="39">
        <v>46106</v>
      </c>
      <c r="L35" s="23" t="s">
        <v>425</v>
      </c>
      <c r="M35" s="23"/>
      <c r="N35" t="s">
        <v>392</v>
      </c>
    </row>
    <row r="36" spans="1:14" ht="41.25" customHeight="1">
      <c r="A36" s="23">
        <v>32</v>
      </c>
      <c r="B36" s="23"/>
      <c r="C36" s="23" t="s">
        <v>466</v>
      </c>
      <c r="D36" s="23" t="s">
        <v>496</v>
      </c>
      <c r="E36" s="23" t="s">
        <v>394</v>
      </c>
      <c r="F36" s="23" t="s">
        <v>497</v>
      </c>
      <c r="G36" s="23" t="s">
        <v>468</v>
      </c>
      <c r="H36" s="23" t="s">
        <v>498</v>
      </c>
      <c r="I36" s="23" t="s">
        <v>499</v>
      </c>
      <c r="J36" s="23" t="s">
        <v>390</v>
      </c>
      <c r="K36" s="39">
        <v>46106</v>
      </c>
      <c r="L36" s="23" t="s">
        <v>425</v>
      </c>
      <c r="M36" s="23"/>
      <c r="N36" t="s">
        <v>392</v>
      </c>
    </row>
    <row r="37" spans="1:14" ht="41.25" customHeight="1">
      <c r="A37" s="23">
        <v>33</v>
      </c>
      <c r="B37" s="23"/>
      <c r="C37" s="23" t="s">
        <v>500</v>
      </c>
      <c r="D37" s="23" t="s">
        <v>501</v>
      </c>
      <c r="E37" s="23" t="s">
        <v>394</v>
      </c>
      <c r="F37" s="23" t="s">
        <v>467</v>
      </c>
      <c r="G37" s="23" t="s">
        <v>468</v>
      </c>
      <c r="H37" s="23" t="s">
        <v>502</v>
      </c>
      <c r="I37" s="23" t="s">
        <v>503</v>
      </c>
      <c r="J37" s="23" t="s">
        <v>390</v>
      </c>
      <c r="K37" s="39">
        <v>46106</v>
      </c>
      <c r="L37" s="23" t="s">
        <v>391</v>
      </c>
      <c r="M37" s="23"/>
      <c r="N37" t="s">
        <v>392</v>
      </c>
    </row>
    <row r="38" spans="1:14" ht="30" customHeight="1">
      <c r="A38" s="23">
        <v>34</v>
      </c>
      <c r="B38" s="23"/>
      <c r="C38" s="23" t="s">
        <v>500</v>
      </c>
      <c r="D38" s="23" t="s">
        <v>501</v>
      </c>
      <c r="E38" s="23" t="s">
        <v>394</v>
      </c>
      <c r="F38" s="23" t="s">
        <v>504</v>
      </c>
      <c r="G38" s="23" t="s">
        <v>468</v>
      </c>
      <c r="H38" s="23" t="s">
        <v>505</v>
      </c>
      <c r="I38" s="23" t="s">
        <v>506</v>
      </c>
      <c r="J38" s="23" t="s">
        <v>390</v>
      </c>
      <c r="K38" s="39">
        <v>46106</v>
      </c>
      <c r="L38" s="23" t="s">
        <v>391</v>
      </c>
      <c r="M38" s="23"/>
      <c r="N38" t="s">
        <v>392</v>
      </c>
    </row>
    <row r="39" spans="1:14" ht="35.25" customHeight="1">
      <c r="A39" s="23">
        <v>35</v>
      </c>
      <c r="B39" s="23"/>
      <c r="C39" s="23" t="s">
        <v>500</v>
      </c>
      <c r="D39" s="23" t="s">
        <v>507</v>
      </c>
      <c r="E39" s="23" t="s">
        <v>394</v>
      </c>
      <c r="F39" s="23" t="s">
        <v>508</v>
      </c>
      <c r="G39" s="23" t="s">
        <v>468</v>
      </c>
      <c r="H39" s="23" t="s">
        <v>509</v>
      </c>
      <c r="I39" s="23" t="s">
        <v>510</v>
      </c>
      <c r="J39" s="23" t="s">
        <v>390</v>
      </c>
      <c r="K39" s="39">
        <v>46106</v>
      </c>
      <c r="L39" s="23" t="s">
        <v>391</v>
      </c>
      <c r="M39" s="23"/>
      <c r="N39" t="s">
        <v>392</v>
      </c>
    </row>
    <row r="40" spans="1:14" ht="24" customHeight="1">
      <c r="A40" s="23">
        <v>36</v>
      </c>
      <c r="B40" s="23"/>
      <c r="C40" s="23" t="s">
        <v>500</v>
      </c>
      <c r="D40" s="23" t="s">
        <v>507</v>
      </c>
      <c r="E40" s="23" t="s">
        <v>385</v>
      </c>
      <c r="F40" s="23" t="s">
        <v>511</v>
      </c>
      <c r="G40" s="23" t="s">
        <v>468</v>
      </c>
      <c r="H40" s="23" t="s">
        <v>512</v>
      </c>
      <c r="I40" s="23" t="s">
        <v>513</v>
      </c>
      <c r="J40" s="23" t="s">
        <v>390</v>
      </c>
      <c r="K40" s="39">
        <v>46106</v>
      </c>
      <c r="L40" s="23" t="s">
        <v>391</v>
      </c>
      <c r="M40" s="23"/>
      <c r="N40" t="s">
        <v>392</v>
      </c>
    </row>
    <row r="41" spans="1:14" ht="29.25" customHeight="1">
      <c r="A41" s="23">
        <v>37</v>
      </c>
      <c r="B41" s="23"/>
      <c r="C41" s="23" t="s">
        <v>500</v>
      </c>
      <c r="D41" s="23" t="s">
        <v>514</v>
      </c>
      <c r="E41" s="23" t="s">
        <v>394</v>
      </c>
      <c r="F41" s="23" t="s">
        <v>497</v>
      </c>
      <c r="G41" s="23" t="s">
        <v>468</v>
      </c>
      <c r="H41" s="23" t="s">
        <v>515</v>
      </c>
      <c r="I41" s="23" t="s">
        <v>516</v>
      </c>
      <c r="J41" s="23" t="s">
        <v>390</v>
      </c>
      <c r="K41" s="39">
        <v>46106</v>
      </c>
      <c r="L41" s="23" t="s">
        <v>391</v>
      </c>
      <c r="M41" s="23"/>
      <c r="N41" t="s">
        <v>392</v>
      </c>
    </row>
    <row r="42" spans="1:14" ht="34.5" customHeight="1">
      <c r="A42" s="23">
        <v>38</v>
      </c>
      <c r="B42" s="23"/>
      <c r="C42" s="23" t="s">
        <v>517</v>
      </c>
      <c r="D42" s="23" t="s">
        <v>518</v>
      </c>
      <c r="E42" s="23" t="s">
        <v>394</v>
      </c>
      <c r="F42" s="23" t="s">
        <v>467</v>
      </c>
      <c r="G42" s="23" t="s">
        <v>468</v>
      </c>
      <c r="H42" s="23" t="s">
        <v>519</v>
      </c>
      <c r="I42" s="23" t="s">
        <v>520</v>
      </c>
      <c r="J42" s="23" t="s">
        <v>390</v>
      </c>
      <c r="K42" s="39">
        <v>46106</v>
      </c>
      <c r="L42" s="23" t="s">
        <v>391</v>
      </c>
      <c r="M42" s="23"/>
      <c r="N42" t="s">
        <v>392</v>
      </c>
    </row>
    <row r="43" spans="1:14" ht="30" customHeight="1">
      <c r="A43" s="23">
        <v>39</v>
      </c>
      <c r="B43" s="23"/>
      <c r="C43" s="23" t="s">
        <v>517</v>
      </c>
      <c r="D43" s="23" t="s">
        <v>518</v>
      </c>
      <c r="E43" s="23" t="s">
        <v>394</v>
      </c>
      <c r="F43" s="23" t="s">
        <v>504</v>
      </c>
      <c r="G43" s="23" t="s">
        <v>468</v>
      </c>
      <c r="H43" s="23" t="s">
        <v>521</v>
      </c>
      <c r="I43" s="23" t="s">
        <v>522</v>
      </c>
      <c r="J43" s="23" t="s">
        <v>390</v>
      </c>
      <c r="K43" s="39">
        <v>46106</v>
      </c>
      <c r="L43" s="23" t="s">
        <v>391</v>
      </c>
      <c r="M43" s="23"/>
      <c r="N43" t="s">
        <v>392</v>
      </c>
    </row>
    <row r="44" spans="1:14" ht="38.25" customHeight="1">
      <c r="A44" s="23">
        <v>40</v>
      </c>
      <c r="B44" s="23"/>
      <c r="C44" s="23" t="s">
        <v>517</v>
      </c>
      <c r="D44" s="23" t="s">
        <v>523</v>
      </c>
      <c r="E44" s="23" t="s">
        <v>394</v>
      </c>
      <c r="F44" s="23" t="s">
        <v>524</v>
      </c>
      <c r="G44" s="23" t="s">
        <v>468</v>
      </c>
      <c r="H44" s="23" t="s">
        <v>525</v>
      </c>
      <c r="I44" s="23" t="s">
        <v>526</v>
      </c>
      <c r="J44" s="23" t="s">
        <v>390</v>
      </c>
      <c r="K44" s="39">
        <v>46106</v>
      </c>
      <c r="L44" s="23" t="s">
        <v>391</v>
      </c>
      <c r="M44" s="23"/>
      <c r="N44" t="s">
        <v>392</v>
      </c>
    </row>
    <row r="45" spans="1:14" ht="24">
      <c r="A45" s="23">
        <v>41</v>
      </c>
      <c r="B45" s="23"/>
      <c r="C45" s="23" t="s">
        <v>517</v>
      </c>
      <c r="D45" s="23" t="s">
        <v>523</v>
      </c>
      <c r="E45" s="23" t="s">
        <v>385</v>
      </c>
      <c r="F45" s="23" t="s">
        <v>386</v>
      </c>
      <c r="G45" s="23" t="s">
        <v>468</v>
      </c>
      <c r="H45" s="23" t="s">
        <v>527</v>
      </c>
      <c r="I45" s="23" t="s">
        <v>528</v>
      </c>
      <c r="J45" s="23" t="s">
        <v>390</v>
      </c>
      <c r="K45" s="39">
        <v>46106</v>
      </c>
      <c r="L45" s="23" t="s">
        <v>391</v>
      </c>
      <c r="M45" s="23"/>
      <c r="N45" t="s">
        <v>392</v>
      </c>
    </row>
    <row r="46" spans="1:14" ht="24" customHeight="1">
      <c r="A46" s="23">
        <v>42</v>
      </c>
      <c r="B46" s="23"/>
      <c r="C46" s="23" t="s">
        <v>517</v>
      </c>
      <c r="D46" s="23" t="s">
        <v>529</v>
      </c>
      <c r="E46" s="23" t="s">
        <v>394</v>
      </c>
      <c r="F46" s="23" t="s">
        <v>497</v>
      </c>
      <c r="G46" s="23" t="s">
        <v>468</v>
      </c>
      <c r="H46" s="23" t="s">
        <v>530</v>
      </c>
      <c r="I46" s="23" t="s">
        <v>531</v>
      </c>
      <c r="J46" s="23" t="s">
        <v>390</v>
      </c>
      <c r="K46" s="39">
        <v>46106</v>
      </c>
      <c r="L46" s="23" t="s">
        <v>391</v>
      </c>
      <c r="M46" s="23"/>
      <c r="N46" t="s">
        <v>392</v>
      </c>
    </row>
    <row r="47" spans="1:14" ht="39" customHeight="1">
      <c r="A47" s="23">
        <v>43</v>
      </c>
      <c r="B47" s="23"/>
      <c r="C47" s="23" t="s">
        <v>532</v>
      </c>
      <c r="D47" s="23" t="s">
        <v>533</v>
      </c>
      <c r="E47" s="23" t="s">
        <v>394</v>
      </c>
      <c r="F47" s="23" t="s">
        <v>534</v>
      </c>
      <c r="G47" s="23" t="s">
        <v>468</v>
      </c>
      <c r="H47" s="23" t="s">
        <v>535</v>
      </c>
      <c r="I47" s="23" t="s">
        <v>536</v>
      </c>
      <c r="J47" s="23" t="s">
        <v>390</v>
      </c>
      <c r="K47" s="39">
        <v>46106</v>
      </c>
      <c r="L47" s="23" t="s">
        <v>425</v>
      </c>
      <c r="M47" s="23"/>
      <c r="N47" t="s">
        <v>392</v>
      </c>
    </row>
    <row r="48" spans="1:14" ht="39" customHeight="1">
      <c r="A48" s="23">
        <v>44</v>
      </c>
      <c r="B48" s="23"/>
      <c r="C48" s="23" t="s">
        <v>532</v>
      </c>
      <c r="D48" s="23" t="s">
        <v>537</v>
      </c>
      <c r="E48" s="23" t="s">
        <v>394</v>
      </c>
      <c r="F48" s="23" t="s">
        <v>538</v>
      </c>
      <c r="G48" s="23" t="s">
        <v>468</v>
      </c>
      <c r="H48" s="23" t="s">
        <v>539</v>
      </c>
      <c r="I48" s="23" t="s">
        <v>540</v>
      </c>
      <c r="J48" s="23" t="s">
        <v>390</v>
      </c>
      <c r="K48" s="39">
        <v>46106</v>
      </c>
      <c r="L48" s="23" t="s">
        <v>425</v>
      </c>
      <c r="M48" s="23"/>
      <c r="N48" t="s">
        <v>392</v>
      </c>
    </row>
    <row r="49" spans="1:14" ht="36" customHeight="1">
      <c r="A49" s="23">
        <v>45</v>
      </c>
      <c r="B49" s="23"/>
      <c r="C49" s="23" t="s">
        <v>541</v>
      </c>
      <c r="D49" s="23" t="s">
        <v>542</v>
      </c>
      <c r="E49" s="23" t="s">
        <v>394</v>
      </c>
      <c r="F49" s="23" t="s">
        <v>437</v>
      </c>
      <c r="G49" s="23" t="s">
        <v>543</v>
      </c>
      <c r="H49" s="23" t="s">
        <v>544</v>
      </c>
      <c r="I49" s="23" t="s">
        <v>545</v>
      </c>
      <c r="J49" s="23" t="s">
        <v>390</v>
      </c>
      <c r="K49" s="39">
        <v>46106</v>
      </c>
      <c r="L49" s="23" t="s">
        <v>425</v>
      </c>
      <c r="M49" s="23"/>
      <c r="N49" t="s">
        <v>392</v>
      </c>
    </row>
    <row r="50" spans="1:14">
      <c r="A50" s="46" t="s">
        <v>546</v>
      </c>
      <c r="B50" s="47"/>
      <c r="C50" s="47"/>
      <c r="D50" s="47"/>
      <c r="E50" s="47"/>
      <c r="F50" s="47"/>
      <c r="G50" s="47"/>
      <c r="H50" s="47"/>
      <c r="I50" s="47"/>
      <c r="J50" s="47"/>
      <c r="K50" s="47"/>
      <c r="L50" s="47"/>
      <c r="M50" s="47"/>
    </row>
    <row r="51" spans="1:14" ht="44.25" customHeight="1">
      <c r="A51" s="23">
        <v>46</v>
      </c>
      <c r="B51" s="23"/>
      <c r="C51" s="23" t="s">
        <v>8</v>
      </c>
      <c r="D51" s="23" t="s">
        <v>547</v>
      </c>
      <c r="E51" s="23" t="s">
        <v>394</v>
      </c>
      <c r="F51" s="23" t="s">
        <v>471</v>
      </c>
      <c r="G51" s="23" t="s">
        <v>548</v>
      </c>
      <c r="H51" s="23" t="s">
        <v>549</v>
      </c>
      <c r="I51" s="23" t="s">
        <v>550</v>
      </c>
      <c r="J51" s="23" t="s">
        <v>390</v>
      </c>
      <c r="K51" s="39">
        <v>46106</v>
      </c>
      <c r="L51" s="23" t="s">
        <v>248</v>
      </c>
      <c r="M51" s="23"/>
    </row>
    <row r="52" spans="1:14" ht="42" customHeight="1">
      <c r="A52" s="23">
        <v>47</v>
      </c>
      <c r="B52" s="23"/>
      <c r="C52" s="23" t="s">
        <v>8</v>
      </c>
      <c r="D52" s="23" t="s">
        <v>551</v>
      </c>
      <c r="E52" s="23" t="s">
        <v>394</v>
      </c>
      <c r="F52" s="23" t="s">
        <v>471</v>
      </c>
      <c r="G52" s="23" t="s">
        <v>548</v>
      </c>
      <c r="H52" s="23" t="s">
        <v>552</v>
      </c>
      <c r="I52" s="23" t="s">
        <v>553</v>
      </c>
      <c r="J52" s="23" t="s">
        <v>390</v>
      </c>
      <c r="K52" s="39">
        <v>46106</v>
      </c>
      <c r="L52" s="23" t="s">
        <v>248</v>
      </c>
      <c r="M52" s="23"/>
    </row>
    <row r="53" spans="1:14" ht="36" customHeight="1">
      <c r="A53" s="23">
        <v>48</v>
      </c>
      <c r="B53" s="23"/>
      <c r="C53" s="23" t="s">
        <v>8</v>
      </c>
      <c r="D53" s="23" t="s">
        <v>551</v>
      </c>
      <c r="E53" s="23" t="s">
        <v>394</v>
      </c>
      <c r="F53" s="23" t="s">
        <v>554</v>
      </c>
      <c r="G53" s="23" t="s">
        <v>548</v>
      </c>
      <c r="H53" s="23" t="s">
        <v>555</v>
      </c>
      <c r="I53" s="23" t="s">
        <v>556</v>
      </c>
      <c r="J53" s="23" t="s">
        <v>390</v>
      </c>
      <c r="K53" s="39">
        <v>46106</v>
      </c>
      <c r="L53" s="23" t="s">
        <v>248</v>
      </c>
      <c r="M53" s="23"/>
    </row>
    <row r="54" spans="1:14" ht="39" customHeight="1">
      <c r="A54" s="23">
        <v>49</v>
      </c>
      <c r="B54" s="23"/>
      <c r="C54" s="23" t="s">
        <v>8</v>
      </c>
      <c r="D54" s="23" t="s">
        <v>551</v>
      </c>
      <c r="E54" s="23" t="s">
        <v>394</v>
      </c>
      <c r="F54" s="23" t="s">
        <v>554</v>
      </c>
      <c r="G54" s="23" t="s">
        <v>557</v>
      </c>
      <c r="H54" s="23" t="s">
        <v>558</v>
      </c>
      <c r="I54" s="23" t="s">
        <v>559</v>
      </c>
      <c r="J54" s="23" t="s">
        <v>390</v>
      </c>
      <c r="K54" s="39">
        <v>46106</v>
      </c>
      <c r="L54" s="23" t="s">
        <v>248</v>
      </c>
      <c r="M54" s="23"/>
    </row>
    <row r="55" spans="1:14" ht="38.25" customHeight="1">
      <c r="A55" s="23">
        <v>50</v>
      </c>
      <c r="B55" s="23"/>
      <c r="C55" s="23" t="s">
        <v>8</v>
      </c>
      <c r="D55" s="23" t="s">
        <v>560</v>
      </c>
      <c r="E55" s="23" t="s">
        <v>394</v>
      </c>
      <c r="F55" s="23" t="s">
        <v>561</v>
      </c>
      <c r="G55" s="23" t="s">
        <v>557</v>
      </c>
      <c r="H55" s="23" t="s">
        <v>562</v>
      </c>
      <c r="I55" s="23" t="s">
        <v>563</v>
      </c>
      <c r="J55" s="23" t="s">
        <v>390</v>
      </c>
      <c r="K55" s="39">
        <v>46106</v>
      </c>
      <c r="L55" s="23" t="s">
        <v>248</v>
      </c>
      <c r="M55" s="23"/>
    </row>
    <row r="56" spans="1:14" ht="37.5" customHeight="1">
      <c r="A56" s="23">
        <v>51</v>
      </c>
      <c r="B56" s="23"/>
      <c r="C56" s="23" t="s">
        <v>8</v>
      </c>
      <c r="D56" s="23" t="s">
        <v>564</v>
      </c>
      <c r="E56" s="23" t="s">
        <v>394</v>
      </c>
      <c r="F56" s="23" t="s">
        <v>565</v>
      </c>
      <c r="G56" s="23" t="s">
        <v>566</v>
      </c>
      <c r="H56" s="23" t="s">
        <v>567</v>
      </c>
      <c r="I56" s="23" t="s">
        <v>568</v>
      </c>
      <c r="J56" s="23" t="s">
        <v>390</v>
      </c>
      <c r="K56" s="39">
        <v>46106</v>
      </c>
      <c r="L56" s="23" t="s">
        <v>425</v>
      </c>
      <c r="M56" s="23"/>
    </row>
    <row r="57" spans="1:14" ht="38.25" customHeight="1">
      <c r="A57" s="23">
        <v>52</v>
      </c>
      <c r="B57" s="23"/>
      <c r="C57" s="23" t="s">
        <v>8</v>
      </c>
      <c r="D57" s="23" t="s">
        <v>564</v>
      </c>
      <c r="E57" s="23" t="s">
        <v>385</v>
      </c>
      <c r="F57" s="23" t="s">
        <v>569</v>
      </c>
      <c r="G57" s="23" t="s">
        <v>548</v>
      </c>
      <c r="H57" s="23" t="s">
        <v>570</v>
      </c>
      <c r="I57" s="23" t="s">
        <v>571</v>
      </c>
      <c r="J57" s="23" t="s">
        <v>390</v>
      </c>
      <c r="K57" s="39">
        <v>46106</v>
      </c>
      <c r="L57" s="23" t="s">
        <v>425</v>
      </c>
      <c r="M57" s="23"/>
    </row>
    <row r="58" spans="1:14" s="142" customFormat="1" ht="69.75" customHeight="1">
      <c r="A58" s="140">
        <v>53</v>
      </c>
      <c r="B58" s="140"/>
      <c r="C58" s="140" t="s">
        <v>8</v>
      </c>
      <c r="D58" s="140" t="s">
        <v>564</v>
      </c>
      <c r="E58" s="140" t="s">
        <v>394</v>
      </c>
      <c r="F58" s="140" t="s">
        <v>572</v>
      </c>
      <c r="G58" s="140" t="s">
        <v>573</v>
      </c>
      <c r="H58" s="140" t="s">
        <v>574</v>
      </c>
      <c r="I58" s="140" t="s">
        <v>575</v>
      </c>
      <c r="J58" s="140" t="s">
        <v>390</v>
      </c>
      <c r="K58" s="141">
        <v>46106</v>
      </c>
      <c r="L58" s="140" t="s">
        <v>391</v>
      </c>
      <c r="M58" s="140"/>
    </row>
    <row r="59" spans="1:14" ht="40.5" customHeight="1">
      <c r="A59" s="23">
        <v>54</v>
      </c>
      <c r="B59" s="23"/>
      <c r="C59" s="23" t="s">
        <v>8</v>
      </c>
      <c r="D59" s="23" t="s">
        <v>576</v>
      </c>
      <c r="E59" s="23" t="s">
        <v>394</v>
      </c>
      <c r="F59" s="23" t="s">
        <v>577</v>
      </c>
      <c r="G59" s="23" t="s">
        <v>578</v>
      </c>
      <c r="H59" s="23" t="s">
        <v>579</v>
      </c>
      <c r="I59" s="23" t="s">
        <v>580</v>
      </c>
      <c r="J59" s="23" t="s">
        <v>390</v>
      </c>
      <c r="K59" s="39">
        <v>46106</v>
      </c>
      <c r="L59" s="23" t="s">
        <v>391</v>
      </c>
      <c r="M59" s="23"/>
    </row>
    <row r="60" spans="1:14">
      <c r="A60" s="46" t="s">
        <v>581</v>
      </c>
      <c r="B60" s="47"/>
      <c r="C60" s="47"/>
      <c r="D60" s="47"/>
      <c r="E60" s="47"/>
      <c r="F60" s="47"/>
      <c r="G60" s="47"/>
      <c r="H60" s="47"/>
      <c r="I60" s="47"/>
      <c r="J60" s="47"/>
      <c r="K60" s="47"/>
      <c r="L60" s="47"/>
      <c r="M60" s="47"/>
    </row>
    <row r="61" spans="1:14" ht="39.75" customHeight="1">
      <c r="A61" s="23">
        <v>55</v>
      </c>
      <c r="B61" s="23"/>
      <c r="C61" s="23" t="s">
        <v>10</v>
      </c>
      <c r="D61" s="23" t="s">
        <v>551</v>
      </c>
      <c r="E61" s="23" t="s">
        <v>394</v>
      </c>
      <c r="F61" s="23" t="s">
        <v>554</v>
      </c>
      <c r="G61" s="23" t="s">
        <v>582</v>
      </c>
      <c r="H61" s="23" t="s">
        <v>583</v>
      </c>
      <c r="I61" s="23" t="s">
        <v>584</v>
      </c>
      <c r="J61" s="23" t="s">
        <v>390</v>
      </c>
      <c r="K61" s="39">
        <v>46106</v>
      </c>
      <c r="L61" s="23" t="s">
        <v>425</v>
      </c>
      <c r="M61" s="23"/>
    </row>
    <row r="62" spans="1:14" ht="38.25" customHeight="1">
      <c r="A62" s="23">
        <v>56</v>
      </c>
      <c r="B62" s="23"/>
      <c r="C62" s="23" t="s">
        <v>10</v>
      </c>
      <c r="D62" s="23" t="s">
        <v>585</v>
      </c>
      <c r="E62" s="23" t="s">
        <v>394</v>
      </c>
      <c r="F62" s="23" t="s">
        <v>586</v>
      </c>
      <c r="G62" s="23" t="s">
        <v>582</v>
      </c>
      <c r="H62" s="23" t="s">
        <v>587</v>
      </c>
      <c r="I62" s="23" t="s">
        <v>588</v>
      </c>
      <c r="J62" s="23" t="s">
        <v>390</v>
      </c>
      <c r="K62" s="39">
        <v>46106</v>
      </c>
      <c r="L62" s="23" t="s">
        <v>425</v>
      </c>
      <c r="M62" s="23"/>
    </row>
    <row r="63" spans="1:14" ht="54" customHeight="1">
      <c r="A63" s="23">
        <v>57</v>
      </c>
      <c r="B63" s="23"/>
      <c r="C63" s="23" t="s">
        <v>10</v>
      </c>
      <c r="D63" s="23" t="s">
        <v>589</v>
      </c>
      <c r="E63" s="23" t="s">
        <v>394</v>
      </c>
      <c r="F63" s="23" t="s">
        <v>590</v>
      </c>
      <c r="G63" s="23" t="s">
        <v>591</v>
      </c>
      <c r="H63" s="23" t="s">
        <v>592</v>
      </c>
      <c r="I63" s="23" t="s">
        <v>593</v>
      </c>
      <c r="J63" s="23" t="s">
        <v>390</v>
      </c>
      <c r="K63" s="39">
        <v>46106</v>
      </c>
      <c r="L63" s="23" t="s">
        <v>391</v>
      </c>
      <c r="M63" s="23"/>
    </row>
    <row r="64" spans="1:14">
      <c r="A64" s="23"/>
      <c r="B64" s="23"/>
      <c r="C64" s="23"/>
      <c r="D64" s="23"/>
      <c r="E64" s="23"/>
      <c r="F64" s="23"/>
      <c r="G64" s="23"/>
      <c r="H64" s="23"/>
      <c r="I64" s="23"/>
      <c r="J64" s="23"/>
      <c r="K64" s="23"/>
      <c r="L64" s="23"/>
      <c r="M64" s="23"/>
    </row>
    <row r="65" spans="1:13">
      <c r="A65" s="23"/>
      <c r="B65" s="23"/>
      <c r="C65" s="23"/>
      <c r="D65" s="23"/>
      <c r="E65" s="23"/>
      <c r="F65" s="23"/>
      <c r="G65" s="23"/>
      <c r="H65" s="23"/>
      <c r="I65" s="23"/>
      <c r="J65" s="23"/>
      <c r="K65" s="23"/>
      <c r="L65" s="23"/>
      <c r="M65" s="23"/>
    </row>
    <row r="66" spans="1:13">
      <c r="A66" s="44"/>
      <c r="B66" s="44"/>
      <c r="C66" s="44"/>
      <c r="D66" s="44"/>
      <c r="E66" s="44"/>
      <c r="F66" s="44"/>
      <c r="G66" s="44"/>
      <c r="H66" s="44"/>
      <c r="I66" s="44"/>
      <c r="J66" s="44"/>
      <c r="K66" s="44"/>
      <c r="L66" s="44"/>
      <c r="M66" s="44"/>
    </row>
    <row r="67" spans="1:13">
      <c r="A67" s="23"/>
      <c r="B67" s="23"/>
      <c r="C67" s="23"/>
      <c r="D67" s="23"/>
      <c r="E67" s="23"/>
      <c r="F67" s="23"/>
      <c r="G67" s="23"/>
      <c r="H67" s="23"/>
      <c r="I67" s="23"/>
      <c r="J67" s="23"/>
      <c r="K67" s="23"/>
      <c r="L67" s="23"/>
      <c r="M67" s="23"/>
    </row>
    <row r="68" spans="1:13" s="138" customFormat="1">
      <c r="K68" s="139"/>
    </row>
    <row r="69" spans="1:13" s="128" customFormat="1">
      <c r="A69" s="138"/>
      <c r="B69" s="138"/>
      <c r="C69" s="138"/>
      <c r="D69" s="138"/>
      <c r="E69" s="138"/>
      <c r="F69" s="138"/>
      <c r="G69" s="138"/>
      <c r="H69" s="138"/>
      <c r="I69" s="138"/>
      <c r="J69" s="138"/>
      <c r="K69" s="139"/>
      <c r="L69" s="138"/>
      <c r="M69" s="138"/>
    </row>
    <row r="70" spans="1:13" s="128" customFormat="1">
      <c r="A70" s="138"/>
      <c r="B70" s="138"/>
      <c r="C70" s="138"/>
      <c r="D70" s="138"/>
      <c r="E70" s="138"/>
      <c r="F70" s="138"/>
      <c r="G70" s="138"/>
      <c r="H70" s="138"/>
      <c r="I70" s="138"/>
      <c r="J70" s="138"/>
      <c r="K70" s="139"/>
      <c r="L70" s="138"/>
      <c r="M70" s="138"/>
    </row>
    <row r="71" spans="1:13" s="128" customFormat="1">
      <c r="A71" s="138"/>
      <c r="B71" s="138"/>
      <c r="C71" s="138"/>
      <c r="D71" s="138"/>
      <c r="E71" s="138"/>
      <c r="F71" s="138"/>
      <c r="G71" s="138"/>
      <c r="H71" s="138"/>
      <c r="I71" s="138"/>
      <c r="J71" s="138"/>
      <c r="K71" s="139"/>
      <c r="L71" s="138"/>
      <c r="M71" s="138"/>
    </row>
    <row r="72" spans="1:13" s="128" customFormat="1">
      <c r="A72" s="138"/>
      <c r="B72" s="138"/>
      <c r="C72" s="138"/>
      <c r="D72" s="138"/>
      <c r="E72" s="138"/>
      <c r="F72" s="138"/>
      <c r="G72" s="138"/>
      <c r="H72" s="138"/>
      <c r="I72" s="138"/>
      <c r="J72" s="138"/>
      <c r="K72" s="139"/>
      <c r="L72" s="138"/>
      <c r="M72" s="138"/>
    </row>
    <row r="73" spans="1:13" s="128" customFormat="1">
      <c r="A73" s="138"/>
      <c r="B73" s="138"/>
      <c r="C73" s="138"/>
      <c r="D73" s="138"/>
      <c r="E73" s="138"/>
      <c r="F73" s="138"/>
      <c r="G73" s="138"/>
      <c r="H73" s="138"/>
      <c r="I73" s="138"/>
      <c r="J73" s="138"/>
      <c r="K73" s="139"/>
      <c r="L73" s="138"/>
      <c r="M73" s="138"/>
    </row>
    <row r="74" spans="1:13" s="128" customFormat="1">
      <c r="A74" s="138"/>
      <c r="B74" s="138"/>
      <c r="C74" s="138"/>
      <c r="D74" s="138"/>
      <c r="E74" s="138"/>
      <c r="F74" s="138"/>
      <c r="G74" s="138"/>
      <c r="H74" s="138"/>
      <c r="I74" s="138"/>
      <c r="J74" s="138"/>
      <c r="K74" s="139"/>
      <c r="L74" s="138"/>
      <c r="M74" s="138"/>
    </row>
    <row r="75" spans="1:13" s="128" customFormat="1">
      <c r="A75" s="138"/>
      <c r="B75" s="138"/>
      <c r="C75" s="138"/>
      <c r="D75" s="138"/>
      <c r="E75" s="138"/>
      <c r="F75" s="138"/>
      <c r="G75" s="138"/>
      <c r="H75" s="138"/>
      <c r="I75" s="138"/>
      <c r="J75" s="138"/>
      <c r="K75" s="139"/>
      <c r="L75" s="138"/>
      <c r="M75" s="138"/>
    </row>
    <row r="76" spans="1:13" s="128" customFormat="1">
      <c r="A76" s="138"/>
      <c r="B76" s="138"/>
      <c r="C76" s="138"/>
      <c r="D76" s="138"/>
      <c r="E76" s="138"/>
      <c r="F76" s="138"/>
      <c r="G76" s="138"/>
      <c r="H76" s="138"/>
      <c r="I76" s="138"/>
      <c r="J76" s="138"/>
      <c r="K76" s="139"/>
      <c r="L76" s="138"/>
      <c r="M76" s="138"/>
    </row>
    <row r="77" spans="1:13" s="128" customFormat="1">
      <c r="A77" s="138"/>
      <c r="B77" s="138"/>
      <c r="C77" s="138"/>
      <c r="D77" s="138"/>
      <c r="E77" s="138"/>
      <c r="F77" s="138"/>
      <c r="G77" s="138"/>
      <c r="H77" s="138"/>
      <c r="I77" s="138"/>
      <c r="J77" s="138"/>
      <c r="K77" s="139"/>
      <c r="L77" s="138"/>
      <c r="M77" s="138"/>
    </row>
    <row r="78" spans="1:13" s="128" customFormat="1">
      <c r="A78" s="138"/>
      <c r="B78" s="138"/>
      <c r="C78" s="138"/>
      <c r="D78" s="138"/>
      <c r="E78" s="138"/>
      <c r="F78" s="138"/>
      <c r="G78" s="138"/>
      <c r="H78" s="138"/>
      <c r="I78" s="138"/>
      <c r="J78" s="138"/>
      <c r="K78" s="139"/>
      <c r="L78" s="138"/>
      <c r="M78" s="138"/>
    </row>
    <row r="79" spans="1:13" s="128" customFormat="1">
      <c r="A79" s="138"/>
      <c r="B79" s="138"/>
      <c r="C79" s="138"/>
      <c r="D79" s="138"/>
      <c r="E79" s="138"/>
      <c r="F79" s="138"/>
      <c r="G79" s="138"/>
      <c r="H79" s="138"/>
      <c r="I79" s="138"/>
      <c r="J79" s="138"/>
      <c r="K79" s="139"/>
      <c r="L79" s="138"/>
      <c r="M79" s="138"/>
    </row>
    <row r="80" spans="1:13" s="128" customFormat="1">
      <c r="A80" s="138"/>
      <c r="B80" s="138"/>
      <c r="C80" s="138"/>
      <c r="D80" s="138"/>
      <c r="E80" s="138"/>
      <c r="F80" s="138"/>
      <c r="G80" s="138"/>
      <c r="H80" s="138"/>
      <c r="I80" s="138"/>
      <c r="J80" s="138"/>
      <c r="K80" s="139"/>
      <c r="L80" s="138"/>
      <c r="M80" s="138"/>
    </row>
    <row r="81" spans="1:13" s="128" customFormat="1">
      <c r="A81" s="138"/>
      <c r="B81" s="138"/>
      <c r="C81" s="138"/>
      <c r="D81" s="138"/>
      <c r="E81" s="138"/>
      <c r="F81" s="138"/>
      <c r="G81" s="138"/>
      <c r="H81" s="138"/>
      <c r="I81" s="138"/>
      <c r="J81" s="138"/>
      <c r="K81" s="139"/>
      <c r="L81" s="138"/>
      <c r="M81" s="138"/>
    </row>
    <row r="82" spans="1:13" s="128" customFormat="1">
      <c r="A82" s="138"/>
      <c r="B82" s="138"/>
      <c r="C82" s="138"/>
      <c r="D82" s="138"/>
      <c r="E82" s="138"/>
      <c r="F82" s="138"/>
      <c r="G82" s="138"/>
      <c r="H82" s="138"/>
      <c r="I82" s="138"/>
      <c r="J82" s="138"/>
      <c r="K82" s="139"/>
      <c r="L82" s="138"/>
      <c r="M82" s="138"/>
    </row>
    <row r="83" spans="1:13" s="128" customFormat="1">
      <c r="A83" s="138"/>
      <c r="B83" s="138"/>
      <c r="C83" s="138"/>
      <c r="D83" s="138"/>
      <c r="E83" s="138"/>
      <c r="F83" s="138"/>
      <c r="G83" s="138"/>
      <c r="H83" s="138"/>
      <c r="I83" s="138"/>
      <c r="J83" s="138"/>
      <c r="K83" s="139"/>
      <c r="L83" s="138"/>
      <c r="M83" s="138"/>
    </row>
    <row r="84" spans="1:13" s="128" customFormat="1">
      <c r="A84" s="138"/>
      <c r="B84" s="138"/>
      <c r="C84" s="138"/>
      <c r="D84" s="138"/>
      <c r="E84" s="138"/>
      <c r="F84" s="138"/>
      <c r="G84" s="138"/>
      <c r="H84" s="138"/>
      <c r="I84" s="138"/>
      <c r="J84" s="138"/>
      <c r="K84" s="138"/>
      <c r="L84" s="138"/>
      <c r="M84" s="138"/>
    </row>
    <row r="85" spans="1:13" s="128" customFormat="1">
      <c r="A85" s="138"/>
      <c r="B85" s="138"/>
      <c r="C85" s="138"/>
      <c r="D85" s="138"/>
      <c r="E85" s="138"/>
      <c r="F85" s="138"/>
      <c r="G85" s="138"/>
      <c r="H85" s="138"/>
      <c r="I85" s="138"/>
      <c r="J85" s="138"/>
      <c r="K85" s="138"/>
      <c r="L85" s="138"/>
      <c r="M85" s="138"/>
    </row>
    <row r="86" spans="1:13" s="128" customFormat="1">
      <c r="A86" s="138"/>
      <c r="B86" s="138"/>
      <c r="C86" s="138"/>
      <c r="D86" s="138"/>
      <c r="E86" s="138"/>
      <c r="F86" s="138"/>
      <c r="G86" s="138"/>
      <c r="H86" s="138"/>
      <c r="I86" s="138"/>
      <c r="J86" s="138"/>
      <c r="K86" s="138"/>
      <c r="L86" s="138"/>
      <c r="M86" s="138"/>
    </row>
    <row r="87" spans="1:13" s="128" customFormat="1">
      <c r="A87" s="138"/>
      <c r="B87" s="138"/>
      <c r="C87" s="138"/>
      <c r="D87" s="138"/>
      <c r="E87" s="138"/>
      <c r="F87" s="138"/>
      <c r="G87" s="138"/>
      <c r="H87" s="138"/>
      <c r="I87" s="138"/>
      <c r="J87" s="138"/>
      <c r="K87" s="138"/>
      <c r="L87" s="138"/>
      <c r="M87" s="138"/>
    </row>
    <row r="88" spans="1:13" s="128" customFormat="1">
      <c r="A88" s="138"/>
      <c r="B88" s="138"/>
      <c r="C88" s="138"/>
      <c r="D88" s="138"/>
      <c r="E88" s="138"/>
      <c r="F88" s="138"/>
      <c r="G88" s="138"/>
      <c r="H88" s="138"/>
      <c r="I88" s="138"/>
      <c r="J88" s="138"/>
      <c r="K88" s="138"/>
      <c r="L88" s="138"/>
      <c r="M88" s="138"/>
    </row>
    <row r="89" spans="1:13" s="128" customFormat="1">
      <c r="A89" s="138"/>
      <c r="B89" s="138"/>
      <c r="C89" s="138"/>
      <c r="D89" s="138"/>
      <c r="E89" s="138"/>
      <c r="F89" s="138"/>
      <c r="G89" s="138"/>
      <c r="H89" s="138"/>
      <c r="I89" s="138"/>
      <c r="J89" s="138"/>
      <c r="K89" s="138"/>
      <c r="L89" s="138"/>
      <c r="M89" s="138"/>
    </row>
    <row r="90" spans="1:13" s="128" customFormat="1">
      <c r="A90" s="138"/>
      <c r="B90" s="138"/>
      <c r="C90" s="138"/>
      <c r="D90" s="138"/>
      <c r="E90" s="138"/>
      <c r="F90" s="138"/>
      <c r="G90" s="138"/>
      <c r="H90" s="138"/>
      <c r="I90" s="138"/>
      <c r="J90" s="138"/>
      <c r="K90" s="138"/>
      <c r="L90" s="138"/>
      <c r="M90" s="138"/>
    </row>
    <row r="91" spans="1:13" s="128" customFormat="1">
      <c r="A91" s="138"/>
      <c r="B91" s="138"/>
      <c r="C91" s="138"/>
      <c r="D91" s="138"/>
      <c r="E91" s="138"/>
      <c r="F91" s="138"/>
      <c r="G91" s="138"/>
      <c r="H91" s="138"/>
      <c r="I91" s="138"/>
      <c r="J91" s="138"/>
      <c r="K91" s="138"/>
      <c r="L91" s="138"/>
      <c r="M91" s="138"/>
    </row>
    <row r="92" spans="1:13" s="128" customFormat="1">
      <c r="A92" s="138"/>
      <c r="B92" s="138"/>
      <c r="C92" s="138"/>
      <c r="D92" s="138"/>
      <c r="E92" s="138"/>
      <c r="F92" s="138"/>
      <c r="G92" s="138"/>
      <c r="H92" s="138"/>
      <c r="I92" s="138"/>
      <c r="J92" s="138"/>
      <c r="K92" s="138"/>
      <c r="L92" s="138"/>
      <c r="M92" s="138"/>
    </row>
    <row r="93" spans="1:13" s="128" customFormat="1">
      <c r="A93" s="138"/>
      <c r="B93" s="138"/>
      <c r="C93" s="138"/>
      <c r="D93" s="138"/>
      <c r="E93" s="138"/>
      <c r="F93" s="138"/>
      <c r="G93" s="138"/>
      <c r="H93" s="138"/>
      <c r="I93" s="138"/>
      <c r="J93" s="138"/>
      <c r="K93" s="138"/>
      <c r="L93" s="138"/>
      <c r="M93" s="138"/>
    </row>
    <row r="94" spans="1:13" s="128" customFormat="1">
      <c r="A94" s="138"/>
      <c r="B94" s="138"/>
      <c r="C94" s="138"/>
      <c r="D94" s="138"/>
      <c r="E94" s="138"/>
      <c r="F94" s="138"/>
      <c r="G94" s="138"/>
      <c r="H94" s="138"/>
      <c r="I94" s="138"/>
      <c r="J94" s="138"/>
      <c r="K94" s="138"/>
      <c r="L94" s="138"/>
      <c r="M94" s="138"/>
    </row>
    <row r="95" spans="1:13" s="128" customFormat="1">
      <c r="A95" s="138"/>
      <c r="B95" s="138"/>
      <c r="C95" s="138"/>
      <c r="D95" s="138"/>
      <c r="E95" s="138"/>
      <c r="F95" s="138"/>
      <c r="G95" s="138"/>
      <c r="H95" s="138"/>
      <c r="I95" s="138"/>
      <c r="J95" s="138"/>
      <c r="K95" s="138"/>
      <c r="L95" s="138"/>
      <c r="M95" s="138"/>
    </row>
    <row r="96" spans="1:13" s="128" customFormat="1">
      <c r="A96" s="138"/>
      <c r="B96" s="138"/>
      <c r="C96" s="138"/>
      <c r="D96" s="138"/>
      <c r="E96" s="138"/>
      <c r="F96" s="138"/>
      <c r="G96" s="138"/>
      <c r="H96" s="138"/>
      <c r="I96" s="138"/>
      <c r="J96" s="138"/>
      <c r="K96" s="138"/>
      <c r="L96" s="138"/>
      <c r="M96" s="138"/>
    </row>
    <row r="97" spans="1:13" s="128" customFormat="1">
      <c r="A97" s="138"/>
      <c r="B97" s="138"/>
      <c r="C97" s="138"/>
      <c r="D97" s="138"/>
      <c r="E97" s="138"/>
      <c r="F97" s="138"/>
      <c r="G97" s="138"/>
      <c r="H97" s="138"/>
      <c r="I97" s="138"/>
      <c r="J97" s="138"/>
      <c r="K97" s="138"/>
      <c r="L97" s="138"/>
      <c r="M97" s="138"/>
    </row>
    <row r="98" spans="1:13" s="128" customFormat="1">
      <c r="A98" s="138"/>
      <c r="B98" s="138"/>
      <c r="C98" s="138"/>
      <c r="D98" s="138"/>
      <c r="E98" s="138"/>
      <c r="F98" s="138"/>
      <c r="G98" s="138"/>
      <c r="H98" s="138"/>
      <c r="I98" s="138"/>
      <c r="J98" s="138"/>
      <c r="K98" s="138"/>
      <c r="L98" s="138"/>
      <c r="M98" s="138"/>
    </row>
    <row r="99" spans="1:13" s="128" customFormat="1">
      <c r="A99" s="138"/>
      <c r="B99" s="138"/>
      <c r="C99" s="138"/>
      <c r="D99" s="138"/>
      <c r="E99" s="138"/>
      <c r="F99" s="138"/>
      <c r="G99" s="138"/>
      <c r="H99" s="138"/>
      <c r="I99" s="138"/>
      <c r="J99" s="138"/>
      <c r="K99" s="138"/>
      <c r="L99" s="138"/>
      <c r="M99" s="138"/>
    </row>
    <row r="100" spans="1:13" s="128" customFormat="1">
      <c r="A100" s="138"/>
      <c r="B100" s="138"/>
      <c r="C100" s="138"/>
      <c r="D100" s="138"/>
      <c r="E100" s="138"/>
      <c r="F100" s="138"/>
      <c r="G100" s="138"/>
      <c r="H100" s="138"/>
      <c r="I100" s="138"/>
      <c r="J100" s="138"/>
      <c r="K100" s="138"/>
      <c r="L100" s="138"/>
      <c r="M100" s="138"/>
    </row>
    <row r="101" spans="1:13" s="128" customFormat="1">
      <c r="A101" s="138"/>
      <c r="B101" s="138"/>
      <c r="C101" s="138"/>
      <c r="D101" s="138"/>
      <c r="E101" s="138"/>
      <c r="F101" s="138"/>
      <c r="G101" s="138"/>
      <c r="H101" s="138"/>
      <c r="I101" s="138"/>
      <c r="J101" s="138"/>
      <c r="K101" s="138"/>
      <c r="L101" s="138"/>
      <c r="M101" s="138"/>
    </row>
    <row r="102" spans="1:13" s="128" customFormat="1">
      <c r="A102" s="138"/>
      <c r="B102" s="138"/>
      <c r="C102" s="138"/>
      <c r="D102" s="138"/>
      <c r="E102" s="138"/>
      <c r="F102" s="138"/>
      <c r="G102" s="138"/>
      <c r="H102" s="138"/>
      <c r="I102" s="138"/>
      <c r="J102" s="138"/>
      <c r="K102" s="138"/>
      <c r="L102" s="138"/>
      <c r="M102" s="138"/>
    </row>
    <row r="103" spans="1:13" s="128" customFormat="1">
      <c r="A103" s="138"/>
      <c r="B103" s="138"/>
      <c r="C103" s="138"/>
      <c r="D103" s="138"/>
      <c r="E103" s="138"/>
      <c r="F103" s="138"/>
      <c r="G103" s="138"/>
      <c r="H103" s="138"/>
      <c r="I103" s="138"/>
      <c r="J103" s="138"/>
      <c r="K103" s="138"/>
      <c r="L103" s="138"/>
      <c r="M103" s="138"/>
    </row>
    <row r="104" spans="1:13" s="128" customFormat="1">
      <c r="A104" s="138"/>
      <c r="B104" s="138"/>
      <c r="C104" s="138"/>
      <c r="D104" s="138"/>
      <c r="E104" s="138"/>
      <c r="F104" s="138"/>
      <c r="G104" s="138"/>
      <c r="H104" s="138"/>
      <c r="I104" s="138"/>
      <c r="J104" s="138"/>
      <c r="K104" s="138"/>
      <c r="L104" s="138"/>
      <c r="M104" s="138"/>
    </row>
    <row r="105" spans="1:13" s="128" customFormat="1">
      <c r="A105" s="138"/>
      <c r="B105" s="138"/>
      <c r="C105" s="138"/>
      <c r="D105" s="138"/>
      <c r="E105" s="138"/>
      <c r="F105" s="138"/>
      <c r="G105" s="138"/>
      <c r="H105" s="138"/>
      <c r="I105" s="138"/>
      <c r="J105" s="138"/>
      <c r="K105" s="138"/>
      <c r="L105" s="138"/>
      <c r="M105" s="138"/>
    </row>
    <row r="106" spans="1:13" s="128" customFormat="1">
      <c r="A106" s="138"/>
      <c r="B106" s="138"/>
      <c r="C106" s="138"/>
      <c r="D106" s="138"/>
      <c r="E106" s="138"/>
      <c r="F106" s="138"/>
      <c r="G106" s="138"/>
      <c r="H106" s="138"/>
      <c r="I106" s="138"/>
      <c r="J106" s="138"/>
      <c r="K106" s="138"/>
      <c r="L106" s="138"/>
      <c r="M106" s="138"/>
    </row>
    <row r="107" spans="1:13" s="128" customFormat="1">
      <c r="A107" s="138"/>
      <c r="B107" s="138"/>
      <c r="C107" s="138"/>
      <c r="D107" s="138"/>
      <c r="E107" s="138"/>
      <c r="F107" s="138"/>
      <c r="G107" s="138"/>
      <c r="H107" s="138"/>
      <c r="I107" s="138"/>
      <c r="J107" s="138"/>
      <c r="K107" s="138"/>
      <c r="L107" s="138"/>
      <c r="M107" s="138"/>
    </row>
    <row r="108" spans="1:13" s="128" customFormat="1">
      <c r="A108" s="138"/>
      <c r="B108" s="138"/>
      <c r="C108" s="138"/>
      <c r="D108" s="138"/>
      <c r="E108" s="138"/>
      <c r="F108" s="138"/>
      <c r="G108" s="138"/>
      <c r="H108" s="138"/>
      <c r="I108" s="138"/>
      <c r="J108" s="138"/>
      <c r="K108" s="138"/>
      <c r="L108" s="138"/>
      <c r="M108" s="138"/>
    </row>
    <row r="109" spans="1:13" s="128" customFormat="1">
      <c r="A109" s="138"/>
      <c r="B109" s="138"/>
      <c r="C109" s="138"/>
      <c r="D109" s="138"/>
      <c r="E109" s="138"/>
      <c r="F109" s="138"/>
      <c r="G109" s="138"/>
      <c r="H109" s="138"/>
      <c r="I109" s="138"/>
      <c r="J109" s="138"/>
      <c r="K109" s="138"/>
      <c r="L109" s="138"/>
      <c r="M109" s="138"/>
    </row>
    <row r="110" spans="1:13" s="128" customFormat="1">
      <c r="A110" s="138"/>
      <c r="B110" s="138"/>
      <c r="C110" s="138"/>
      <c r="D110" s="138"/>
      <c r="E110" s="138"/>
      <c r="F110" s="138"/>
      <c r="G110" s="138"/>
      <c r="H110" s="138"/>
      <c r="I110" s="138"/>
      <c r="J110" s="138"/>
      <c r="K110" s="138"/>
      <c r="L110" s="138"/>
      <c r="M110" s="138"/>
    </row>
    <row r="111" spans="1:13" s="128" customFormat="1">
      <c r="A111" s="138"/>
      <c r="B111" s="138"/>
      <c r="C111" s="138"/>
      <c r="D111" s="138"/>
      <c r="E111" s="138"/>
      <c r="F111" s="138"/>
      <c r="G111" s="138"/>
      <c r="H111" s="138"/>
      <c r="I111" s="138"/>
      <c r="J111" s="138"/>
      <c r="K111" s="138"/>
      <c r="L111" s="138"/>
      <c r="M111" s="138"/>
    </row>
    <row r="112" spans="1:13" s="128" customFormat="1">
      <c r="A112" s="138"/>
      <c r="B112" s="138"/>
      <c r="C112" s="138"/>
      <c r="D112" s="138"/>
      <c r="E112" s="138"/>
      <c r="F112" s="138"/>
      <c r="G112" s="138"/>
      <c r="H112" s="138"/>
      <c r="I112" s="138"/>
      <c r="J112" s="138"/>
      <c r="K112" s="138"/>
      <c r="L112" s="138"/>
      <c r="M112" s="138"/>
    </row>
    <row r="113" spans="1:13" s="128" customFormat="1">
      <c r="A113" s="138"/>
      <c r="B113" s="138"/>
      <c r="C113" s="138"/>
      <c r="D113" s="138"/>
      <c r="E113" s="138"/>
      <c r="F113" s="138"/>
      <c r="G113" s="138"/>
      <c r="H113" s="138"/>
      <c r="I113" s="138"/>
      <c r="J113" s="138"/>
      <c r="K113" s="138"/>
      <c r="L113" s="138"/>
      <c r="M113" s="138"/>
    </row>
    <row r="114" spans="1:13" s="128" customFormat="1">
      <c r="A114" s="138"/>
      <c r="B114" s="138"/>
      <c r="C114" s="138"/>
      <c r="D114" s="138"/>
      <c r="E114" s="138"/>
      <c r="F114" s="138"/>
      <c r="G114" s="138"/>
      <c r="H114" s="138"/>
      <c r="I114" s="138"/>
      <c r="J114" s="138"/>
      <c r="K114" s="138"/>
      <c r="L114" s="138"/>
      <c r="M114" s="138"/>
    </row>
  </sheetData>
  <autoFilter ref="A1:N1" xr:uid="{FF89351C-6202-4DD5-87B1-3CAB73F304AB}"/>
  <phoneticPr fontId="35"/>
  <dataValidations count="3">
    <dataValidation type="list" allowBlank="1" showInputMessage="1" showErrorMessage="1" sqref="J68:J77" xr:uid="{DE12B0D2-0FFA-4D49-9CBD-7664ABCC0EFC}">
      <formula1>"OK,NG,その他"</formula1>
    </dataValidation>
    <dataValidation type="list" allowBlank="1" showInputMessage="1" showErrorMessage="1" sqref="L68:M77" xr:uid="{24849209-3BB8-486D-8B35-1BE6BF616894}">
      <formula1>"秋田,小松,峯岸"</formula1>
    </dataValidation>
    <dataValidation type="list" allowBlank="1" showInputMessage="1" showErrorMessage="1" sqref="J3:J9 J11:J23 J61:J63 J25:J49 J51:J59" xr:uid="{AEC0C7F4-0F82-4A38-BA21-FFDE2CD0CC5D}">
      <formula1>"OK,NG,保留"</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9BB31-1F79-4712-AD7C-9FE4D892D25E}">
  <sheetPr>
    <tabColor theme="4" tint="0.39997558519241921"/>
  </sheetPr>
  <dimension ref="A1:E13"/>
  <sheetViews>
    <sheetView topLeftCell="A3" workbookViewId="0">
      <selection activeCell="B2" sqref="B2:H2"/>
    </sheetView>
  </sheetViews>
  <sheetFormatPr defaultRowHeight="12"/>
  <cols>
    <col min="1" max="1" width="9.140625" style="69"/>
    <col min="2" max="2" width="22.28515625" style="69" customWidth="1"/>
    <col min="3" max="3" width="114.85546875" style="69" customWidth="1"/>
    <col min="4" max="4" width="9.140625" style="69"/>
    <col min="5" max="5" width="33.7109375" style="69" customWidth="1"/>
    <col min="6" max="16384" width="9.140625" style="69"/>
  </cols>
  <sheetData>
    <row r="1" spans="1:5" ht="34.5" customHeight="1"/>
    <row r="2" spans="1:5" ht="13.5" customHeight="1">
      <c r="B2" s="185" t="s">
        <v>594</v>
      </c>
      <c r="C2" s="186"/>
      <c r="D2" s="66"/>
      <c r="E2" s="66"/>
    </row>
    <row r="3" spans="1:5" ht="60">
      <c r="B3" s="72" t="s">
        <v>595</v>
      </c>
      <c r="C3" s="74" t="s">
        <v>596</v>
      </c>
    </row>
    <row r="4" spans="1:5" ht="48">
      <c r="B4" s="73" t="s">
        <v>597</v>
      </c>
      <c r="C4" s="75" t="s">
        <v>598</v>
      </c>
    </row>
    <row r="5" spans="1:5" ht="26.25" customHeight="1">
      <c r="B5" s="70"/>
      <c r="C5" s="71"/>
    </row>
    <row r="6" spans="1:5" ht="47.25" customHeight="1">
      <c r="A6" s="71"/>
      <c r="B6" s="185" t="s">
        <v>599</v>
      </c>
      <c r="C6" s="186"/>
    </row>
    <row r="7" spans="1:5" ht="96">
      <c r="A7" s="71"/>
      <c r="B7" s="72" t="s">
        <v>595</v>
      </c>
      <c r="C7" s="74" t="s">
        <v>600</v>
      </c>
    </row>
    <row r="8" spans="1:5" ht="60">
      <c r="A8" s="71"/>
      <c r="B8" s="73" t="s">
        <v>597</v>
      </c>
      <c r="C8" s="75" t="s">
        <v>601</v>
      </c>
    </row>
    <row r="9" spans="1:5" ht="28.5" customHeight="1">
      <c r="A9" s="71"/>
      <c r="B9" s="76"/>
      <c r="C9" s="77"/>
    </row>
    <row r="10" spans="1:5" ht="44.25" customHeight="1">
      <c r="A10" s="71"/>
      <c r="B10" s="185" t="s">
        <v>602</v>
      </c>
      <c r="C10" s="186"/>
    </row>
    <row r="11" spans="1:5" ht="84">
      <c r="A11" s="71"/>
      <c r="B11" s="72" t="s">
        <v>595</v>
      </c>
      <c r="C11" s="74" t="s">
        <v>603</v>
      </c>
    </row>
    <row r="12" spans="1:5" ht="48">
      <c r="A12" s="71"/>
      <c r="B12" s="73" t="s">
        <v>597</v>
      </c>
      <c r="C12" s="75" t="s">
        <v>604</v>
      </c>
    </row>
    <row r="13" spans="1:5">
      <c r="A13" s="71"/>
      <c r="B13" s="71"/>
      <c r="C13" s="71"/>
    </row>
  </sheetData>
  <mergeCells count="3">
    <mergeCell ref="B2:C2"/>
    <mergeCell ref="B6:C6"/>
    <mergeCell ref="B10:C10"/>
  </mergeCells>
  <phoneticPr fontId="3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13</vt:i4>
      </vt:variant>
      <vt:variant>
        <vt:lpstr>名前付き一覧</vt:lpstr>
      </vt:variant>
      <vt:variant>
        <vt:i4>4</vt:i4>
      </vt:variant>
    </vt:vector>
  </HeadingPairs>
  <TitlesOfParts>
    <vt:vector size="17" baseType="lpstr">
      <vt:lpstr>参考PF</vt:lpstr>
      <vt:lpstr>開発手順書</vt:lpstr>
      <vt:lpstr>スケジュール </vt:lpstr>
      <vt:lpstr>タスク管理</vt:lpstr>
      <vt:lpstr>基本設計</vt:lpstr>
      <vt:lpstr>機能一覧</vt:lpstr>
      <vt:lpstr>画面遷移図</vt:lpstr>
      <vt:lpstr>DB概要</vt:lpstr>
      <vt:lpstr>テーブル設計</vt:lpstr>
      <vt:lpstr>テーブル図</vt:lpstr>
      <vt:lpstr>ER図</vt:lpstr>
      <vt:lpstr>テスト項目書</vt:lpstr>
      <vt:lpstr>改修項目</vt:lpstr>
      <vt:lpstr>'スケジュール '!タスク_開始</vt:lpstr>
      <vt:lpstr>'スケジュール '!タスク_終了</vt:lpstr>
      <vt:lpstr>'スケジュール '!プロジェクトの開始</vt:lpstr>
      <vt:lpstr>'スケジュール '!週表示</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kaede nakamura</dc:creator>
  <cp:keywords/>
  <dc:description/>
  <cp:lastModifiedBy>中村 楓</cp:lastModifiedBy>
  <cp:revision/>
  <dcterms:created xsi:type="dcterms:W3CDTF">2026-02-05T06:08:59Z</dcterms:created>
  <dcterms:modified xsi:type="dcterms:W3CDTF">2026-05-22T14:18:41Z</dcterms:modified>
  <cp:category/>
  <cp:contentStatus/>
</cp:coreProperties>
</file>